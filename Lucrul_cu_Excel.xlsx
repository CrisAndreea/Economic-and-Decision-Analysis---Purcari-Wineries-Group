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Caracteristici_produs" sheetId="4" r:id="rId1"/>
    <sheet name="Actiuni" sheetId="7" r:id="rId2"/>
    <sheet name="Tara" sheetId="5" r:id="rId3"/>
    <sheet name="Vanzari" sheetId="1" r:id="rId4"/>
    <sheet name="Brand" sheetId="6" r:id="rId5"/>
  </sheets>
  <definedNames>
    <definedName name="ProiectSSD.accdb" localSheetId="1" hidden="1">Actiuni!$A$1:$G$65</definedName>
    <definedName name="ProiectSSD.accdb" localSheetId="4" hidden="1">Brand!$A$1:$E$5</definedName>
    <definedName name="ProiectSSD.accdb" localSheetId="2" hidden="1">Tara!$A$1:$D$6</definedName>
    <definedName name="ProiectSSD.accdb" localSheetId="3" hidden="1">Vanzari!$A$1:$E$88</definedName>
    <definedName name="ProiectSSD.accdb_1" localSheetId="0" hidden="1">Caracteristici_produs!$A$1:$D$35</definedName>
  </definedNames>
  <calcPr calcId="152511"/>
</workbook>
</file>

<file path=xl/calcChain.xml><?xml version="1.0" encoding="utf-8"?>
<calcChain xmlns="http://schemas.openxmlformats.org/spreadsheetml/2006/main">
  <c r="C5" i="5" l="1"/>
  <c r="C3" i="5"/>
  <c r="C4" i="5"/>
  <c r="C6" i="5"/>
  <c r="C2" i="5"/>
</calcChain>
</file>

<file path=xl/connections.xml><?xml version="1.0" encoding="utf-8"?>
<connections xmlns="http://schemas.openxmlformats.org/spreadsheetml/2006/main">
  <connection id="1" sourceFile="C:\Users\LASCARICA\Desktop\ProiectSSD.accdb" keepAlive="1" name="ProiectSSD" type="5" refreshedVersion="5" background="1" saveData="1">
    <dbPr connection="Provider=Microsoft.ACE.OLEDB.12.0;User ID=Admin;Data Source=C:\Users\LASCARICA\Desktop\ProiectSSD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Vanzari" commandType="3"/>
  </connection>
  <connection id="2" sourceFile="C:\Users\LASCARICA\Desktop\ProiectSSD.accdb" keepAlive="1" name="ProiectSSD1" type="5" refreshedVersion="5" background="1" saveData="1">
    <dbPr connection="Provider=Microsoft.ACE.OLEDB.12.0;User ID=Admin;Data Source=C:\Users\LASCARICA\Desktop\ProiectSSD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Caracteristici_produs" commandType="3"/>
  </connection>
  <connection id="3" sourceFile="C:\Users\LASCARICA\Desktop\ProiectSSD.accdb" keepAlive="1" name="ProiectSSD2" type="5" refreshedVersion="5" background="1" saveData="1">
    <dbPr connection="Provider=Microsoft.ACE.OLEDB.12.0;User ID=Admin;Data Source=C:\Users\LASCARICA\Desktop\ProiectSSD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ara" commandType="3"/>
  </connection>
  <connection id="4" sourceFile="C:\Users\LASCARICA\Desktop\ProiectSSD.accdb" keepAlive="1" name="ProiectSSD3" type="5" refreshedVersion="5" background="1" saveData="1">
    <dbPr connection="Provider=Microsoft.ACE.OLEDB.12.0;User ID=Admin;Data Source=C:\Users\LASCARICA\Desktop\ProiectSSD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Brand" commandType="3"/>
  </connection>
  <connection id="5" sourceFile="C:\Users\LASCARICA\Desktop\An 3\S1\SSD\Proiect\ProiectSSD.accdb" keepAlive="1" name="ProiectSSD4" type="5" refreshedVersion="5" background="1" saveData="1">
    <dbPr connection="Provider=Microsoft.ACE.OLEDB.12.0;User ID=Admin;Data Source=C:\Users\LASCARICA\Desktop\An 3\S1\SSD\Proiect\ProiectSSD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Actiuni" commandType="3"/>
  </connection>
</connections>
</file>

<file path=xl/sharedStrings.xml><?xml version="1.0" encoding="utf-8"?>
<sst xmlns="http://schemas.openxmlformats.org/spreadsheetml/2006/main" count="174" uniqueCount="86">
  <si>
    <t>ID_vanzare</t>
  </si>
  <si>
    <t>An</t>
  </si>
  <si>
    <t>ID_brand</t>
  </si>
  <si>
    <t>Valoare_vanzare</t>
  </si>
  <si>
    <t>ID_tara</t>
  </si>
  <si>
    <t>ID_produs</t>
  </si>
  <si>
    <t>Culoare_vin</t>
  </si>
  <si>
    <t>Categorie_vin</t>
  </si>
  <si>
    <t>Soi_struguri</t>
  </si>
  <si>
    <t>ambra</t>
  </si>
  <si>
    <t>XO</t>
  </si>
  <si>
    <t>rosu</t>
  </si>
  <si>
    <t>sec</t>
  </si>
  <si>
    <t>alb</t>
  </si>
  <si>
    <t>Chardonnay</t>
  </si>
  <si>
    <t>rose</t>
  </si>
  <si>
    <t>brut</t>
  </si>
  <si>
    <t>Chardonnay&amp;Pinot Noir</t>
  </si>
  <si>
    <t>Feteasca Neagra</t>
  </si>
  <si>
    <t>Malbec</t>
  </si>
  <si>
    <t>Merlot</t>
  </si>
  <si>
    <t>Cupaj</t>
  </si>
  <si>
    <t>Pinot Grigio</t>
  </si>
  <si>
    <t>demisec</t>
  </si>
  <si>
    <t>Feteasca Regala</t>
  </si>
  <si>
    <t>demidulce</t>
  </si>
  <si>
    <t>Busuioaca de Bohotin</t>
  </si>
  <si>
    <t>Merlot&amp;Pinot Noir</t>
  </si>
  <si>
    <t>Zghihara</t>
  </si>
  <si>
    <t>Pinot Blanc&amp;Chardonnay&amp;Feteasca Alba</t>
  </si>
  <si>
    <t>Pinot Meunier&amp;Pinot Noir</t>
  </si>
  <si>
    <t>Muscat Ottonel</t>
  </si>
  <si>
    <t>Viorica</t>
  </si>
  <si>
    <t>Muscat</t>
  </si>
  <si>
    <t>extra brut</t>
  </si>
  <si>
    <t>Chardonnay&amp;Pinot Noir&amp;Pinot Blanc</t>
  </si>
  <si>
    <t>VsOP</t>
  </si>
  <si>
    <t>Vs</t>
  </si>
  <si>
    <t>Cabernet sauvignon</t>
  </si>
  <si>
    <t>saperavi</t>
  </si>
  <si>
    <t>Cabernet sauvignon&amp;Merlot</t>
  </si>
  <si>
    <t>syrah</t>
  </si>
  <si>
    <t>Merlot&amp;saperavi</t>
  </si>
  <si>
    <t>Rara Neagra&amp;Cabernet sauvignon</t>
  </si>
  <si>
    <t>Aligote&amp;Rkatsiteli&amp;sauvignon</t>
  </si>
  <si>
    <t>Nume_tara</t>
  </si>
  <si>
    <t>Consum_vin</t>
  </si>
  <si>
    <t>Romania</t>
  </si>
  <si>
    <t>Moldova</t>
  </si>
  <si>
    <t>Polonia</t>
  </si>
  <si>
    <t>Ucraina</t>
  </si>
  <si>
    <t>Belarus</t>
  </si>
  <si>
    <t>Nume</t>
  </si>
  <si>
    <t>Nume_brand</t>
  </si>
  <si>
    <t>Tara_de_origine</t>
  </si>
  <si>
    <t>An_aparitie</t>
  </si>
  <si>
    <t>Tip_brand</t>
  </si>
  <si>
    <t>Purcari</t>
  </si>
  <si>
    <t>premium</t>
  </si>
  <si>
    <t>Crama_Ceptura</t>
  </si>
  <si>
    <t>mediu_premium</t>
  </si>
  <si>
    <t>Bostavan</t>
  </si>
  <si>
    <t>economy</t>
  </si>
  <si>
    <t>Bardar</t>
  </si>
  <si>
    <t>mediu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</si>
  <si>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</si>
  <si>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</si>
  <si>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</si>
  <si>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</si>
  <si>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</si>
  <si>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</si>
  <si>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</si>
  <si>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</si>
  <si>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</si>
  <si>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</si>
  <si>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</si>
  <si>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</si>
  <si>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</si>
  <si>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</si>
  <si>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ID_actiune</t>
  </si>
  <si>
    <t>Data</t>
  </si>
  <si>
    <t>Pret</t>
  </si>
  <si>
    <t>Pret_deschidere</t>
  </si>
  <si>
    <t>Limita_max</t>
  </si>
  <si>
    <t>Limita_min</t>
  </si>
  <si>
    <t>Nr_actiuni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</si>
</sst>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  <xf numFmtId="0" fontId="0" fillId="0" borderId="0" xfId="0" applyBorder="1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o-RO" sz="1600">
                <a:solidFill>
                  <a:schemeClr val="accent4">
                    <a:lumMod val="60000"/>
                    <a:lumOff val="40000"/>
                  </a:schemeClr>
                </a:solidFill>
              </a:rPr>
              <a:t>VOLUM ACȚIUNI</a:t>
            </a:r>
            <a:endParaRPr lang="en-US" sz="1600">
              <a:solidFill>
                <a:schemeClr val="accent4">
                  <a:lumMod val="60000"/>
                  <a:lumOff val="4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accent4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Actiuni!$G$2:$G$65</c:f>
              <c:numCache>
                <c:formatCode>General</c:formatCode>
                <c:ptCount val="64"/>
                <c:pt idx="0">
                  <c:v>465928</c:v>
                </c:pt>
                <c:pt idx="1">
                  <c:v>339422</c:v>
                </c:pt>
                <c:pt idx="2">
                  <c:v>332274</c:v>
                </c:pt>
                <c:pt idx="3">
                  <c:v>662996</c:v>
                </c:pt>
                <c:pt idx="4">
                  <c:v>462021</c:v>
                </c:pt>
                <c:pt idx="5">
                  <c:v>722610</c:v>
                </c:pt>
                <c:pt idx="6">
                  <c:v>547533</c:v>
                </c:pt>
                <c:pt idx="7">
                  <c:v>440500</c:v>
                </c:pt>
                <c:pt idx="8">
                  <c:v>595648</c:v>
                </c:pt>
                <c:pt idx="9">
                  <c:v>534320</c:v>
                </c:pt>
                <c:pt idx="10">
                  <c:v>1100297</c:v>
                </c:pt>
                <c:pt idx="11">
                  <c:v>782967</c:v>
                </c:pt>
                <c:pt idx="12">
                  <c:v>710513</c:v>
                </c:pt>
                <c:pt idx="13">
                  <c:v>583397</c:v>
                </c:pt>
                <c:pt idx="14">
                  <c:v>570378</c:v>
                </c:pt>
                <c:pt idx="15">
                  <c:v>681736</c:v>
                </c:pt>
                <c:pt idx="16">
                  <c:v>812737</c:v>
                </c:pt>
                <c:pt idx="17">
                  <c:v>315691</c:v>
                </c:pt>
                <c:pt idx="18">
                  <c:v>1055384</c:v>
                </c:pt>
                <c:pt idx="19">
                  <c:v>730823</c:v>
                </c:pt>
                <c:pt idx="20">
                  <c:v>1013351</c:v>
                </c:pt>
                <c:pt idx="21">
                  <c:v>725035</c:v>
                </c:pt>
                <c:pt idx="22">
                  <c:v>369256</c:v>
                </c:pt>
                <c:pt idx="23">
                  <c:v>421757</c:v>
                </c:pt>
                <c:pt idx="24">
                  <c:v>879953</c:v>
                </c:pt>
                <c:pt idx="25">
                  <c:v>642297</c:v>
                </c:pt>
                <c:pt idx="26">
                  <c:v>1051583</c:v>
                </c:pt>
                <c:pt idx="27">
                  <c:v>781370</c:v>
                </c:pt>
                <c:pt idx="28">
                  <c:v>516438</c:v>
                </c:pt>
                <c:pt idx="29">
                  <c:v>1046586</c:v>
                </c:pt>
                <c:pt idx="30">
                  <c:v>635598</c:v>
                </c:pt>
                <c:pt idx="31">
                  <c:v>749690</c:v>
                </c:pt>
                <c:pt idx="32">
                  <c:v>490654</c:v>
                </c:pt>
                <c:pt idx="33">
                  <c:v>137726</c:v>
                </c:pt>
                <c:pt idx="34">
                  <c:v>87094</c:v>
                </c:pt>
                <c:pt idx="35">
                  <c:v>167162</c:v>
                </c:pt>
                <c:pt idx="36">
                  <c:v>90600</c:v>
                </c:pt>
                <c:pt idx="37">
                  <c:v>109666</c:v>
                </c:pt>
                <c:pt idx="38">
                  <c:v>365786</c:v>
                </c:pt>
                <c:pt idx="39">
                  <c:v>175386</c:v>
                </c:pt>
                <c:pt idx="40">
                  <c:v>659422</c:v>
                </c:pt>
                <c:pt idx="41">
                  <c:v>462354</c:v>
                </c:pt>
                <c:pt idx="42">
                  <c:v>130852</c:v>
                </c:pt>
                <c:pt idx="43">
                  <c:v>260872</c:v>
                </c:pt>
                <c:pt idx="44">
                  <c:v>861228</c:v>
                </c:pt>
                <c:pt idx="45">
                  <c:v>109644</c:v>
                </c:pt>
                <c:pt idx="46">
                  <c:v>264442</c:v>
                </c:pt>
                <c:pt idx="47">
                  <c:v>213466</c:v>
                </c:pt>
                <c:pt idx="48">
                  <c:v>612580</c:v>
                </c:pt>
                <c:pt idx="49">
                  <c:v>973922</c:v>
                </c:pt>
                <c:pt idx="50">
                  <c:v>129604</c:v>
                </c:pt>
                <c:pt idx="51">
                  <c:v>47578</c:v>
                </c:pt>
                <c:pt idx="52">
                  <c:v>727362</c:v>
                </c:pt>
                <c:pt idx="53">
                  <c:v>128994</c:v>
                </c:pt>
                <c:pt idx="54">
                  <c:v>210248</c:v>
                </c:pt>
                <c:pt idx="55">
                  <c:v>203946</c:v>
                </c:pt>
                <c:pt idx="56">
                  <c:v>77442</c:v>
                </c:pt>
                <c:pt idx="57">
                  <c:v>49000</c:v>
                </c:pt>
                <c:pt idx="58">
                  <c:v>96212</c:v>
                </c:pt>
                <c:pt idx="59">
                  <c:v>507906</c:v>
                </c:pt>
                <c:pt idx="60">
                  <c:v>147292</c:v>
                </c:pt>
                <c:pt idx="61">
                  <c:v>354166</c:v>
                </c:pt>
                <c:pt idx="62">
                  <c:v>90406</c:v>
                </c:pt>
                <c:pt idx="63">
                  <c:v>425150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30186144"/>
        <c:axId val="530186536"/>
      </c:barChart>
      <c:catAx>
        <c:axId val="530186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186536"/>
        <c:crosses val="autoZero"/>
        <c:auto val="1"/>
        <c:lblAlgn val="ctr"/>
        <c:lblOffset val="100"/>
        <c:noMultiLvlLbl val="0"/>
      </c:catAx>
      <c:valAx>
        <c:axId val="530186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18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Vanzari!$D$1</c:f>
              <c:strCache>
                <c:ptCount val="1"/>
                <c:pt idx="0">
                  <c:v>Valoare_vanzare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Vanzari!$D$2:$D$88</c:f>
              <c:numCache>
                <c:formatCode>General</c:formatCode>
                <c:ptCount val="87"/>
                <c:pt idx="0">
                  <c:v>30563347</c:v>
                </c:pt>
                <c:pt idx="1">
                  <c:v>911548</c:v>
                </c:pt>
                <c:pt idx="2">
                  <c:v>4082154</c:v>
                </c:pt>
                <c:pt idx="3">
                  <c:v>30982</c:v>
                </c:pt>
                <c:pt idx="4">
                  <c:v>152305</c:v>
                </c:pt>
                <c:pt idx="5">
                  <c:v>2847196</c:v>
                </c:pt>
                <c:pt idx="6">
                  <c:v>6894936</c:v>
                </c:pt>
                <c:pt idx="7">
                  <c:v>18790132</c:v>
                </c:pt>
                <c:pt idx="8">
                  <c:v>2350822</c:v>
                </c:pt>
                <c:pt idx="9">
                  <c:v>5214043</c:v>
                </c:pt>
                <c:pt idx="10">
                  <c:v>21042662</c:v>
                </c:pt>
                <c:pt idx="11">
                  <c:v>503588</c:v>
                </c:pt>
                <c:pt idx="12">
                  <c:v>26499543</c:v>
                </c:pt>
                <c:pt idx="13">
                  <c:v>668973</c:v>
                </c:pt>
                <c:pt idx="14">
                  <c:v>3367818</c:v>
                </c:pt>
                <c:pt idx="15">
                  <c:v>36020787</c:v>
                </c:pt>
                <c:pt idx="16">
                  <c:v>22254</c:v>
                </c:pt>
                <c:pt idx="17">
                  <c:v>27493</c:v>
                </c:pt>
                <c:pt idx="18">
                  <c:v>2184051</c:v>
                </c:pt>
                <c:pt idx="19">
                  <c:v>7309116</c:v>
                </c:pt>
                <c:pt idx="20">
                  <c:v>18634539</c:v>
                </c:pt>
                <c:pt idx="21">
                  <c:v>1754304</c:v>
                </c:pt>
                <c:pt idx="22">
                  <c:v>4709490</c:v>
                </c:pt>
                <c:pt idx="23">
                  <c:v>23193569</c:v>
                </c:pt>
                <c:pt idx="24">
                  <c:v>465449</c:v>
                </c:pt>
                <c:pt idx="25">
                  <c:v>20573339</c:v>
                </c:pt>
                <c:pt idx="26">
                  <c:v>544137</c:v>
                </c:pt>
                <c:pt idx="27">
                  <c:v>4716572</c:v>
                </c:pt>
                <c:pt idx="28">
                  <c:v>33069333</c:v>
                </c:pt>
                <c:pt idx="29">
                  <c:v>49813</c:v>
                </c:pt>
                <c:pt idx="30">
                  <c:v>2788545</c:v>
                </c:pt>
                <c:pt idx="31">
                  <c:v>5595128</c:v>
                </c:pt>
                <c:pt idx="32">
                  <c:v>19590345</c:v>
                </c:pt>
                <c:pt idx="33">
                  <c:v>4079840</c:v>
                </c:pt>
                <c:pt idx="34">
                  <c:v>2840847</c:v>
                </c:pt>
                <c:pt idx="35">
                  <c:v>18592883</c:v>
                </c:pt>
                <c:pt idx="36">
                  <c:v>37958</c:v>
                </c:pt>
                <c:pt idx="37">
                  <c:v>11676573</c:v>
                </c:pt>
                <c:pt idx="38">
                  <c:v>514603</c:v>
                </c:pt>
                <c:pt idx="39">
                  <c:v>4019255</c:v>
                </c:pt>
                <c:pt idx="40">
                  <c:v>31291010</c:v>
                </c:pt>
                <c:pt idx="41">
                  <c:v>44009</c:v>
                </c:pt>
                <c:pt idx="42">
                  <c:v>2352502</c:v>
                </c:pt>
                <c:pt idx="43">
                  <c:v>4094597</c:v>
                </c:pt>
                <c:pt idx="44">
                  <c:v>23139792</c:v>
                </c:pt>
                <c:pt idx="45">
                  <c:v>3307918</c:v>
                </c:pt>
                <c:pt idx="46">
                  <c:v>1876579</c:v>
                </c:pt>
                <c:pt idx="47">
                  <c:v>12052842</c:v>
                </c:pt>
                <c:pt idx="48">
                  <c:v>38651</c:v>
                </c:pt>
                <c:pt idx="49">
                  <c:v>20093027</c:v>
                </c:pt>
                <c:pt idx="50">
                  <c:v>290362</c:v>
                </c:pt>
                <c:pt idx="51">
                  <c:v>3404340</c:v>
                </c:pt>
                <c:pt idx="52">
                  <c:v>27714264</c:v>
                </c:pt>
                <c:pt idx="53">
                  <c:v>17429</c:v>
                </c:pt>
                <c:pt idx="54">
                  <c:v>2753210</c:v>
                </c:pt>
                <c:pt idx="55">
                  <c:v>5646233</c:v>
                </c:pt>
                <c:pt idx="56">
                  <c:v>20439927</c:v>
                </c:pt>
                <c:pt idx="57">
                  <c:v>3183853</c:v>
                </c:pt>
                <c:pt idx="58">
                  <c:v>1196400</c:v>
                </c:pt>
                <c:pt idx="59">
                  <c:v>19074489</c:v>
                </c:pt>
                <c:pt idx="60">
                  <c:v>32751</c:v>
                </c:pt>
                <c:pt idx="61">
                  <c:v>36666798</c:v>
                </c:pt>
                <c:pt idx="62">
                  <c:v>17431428</c:v>
                </c:pt>
                <c:pt idx="63">
                  <c:v>193636</c:v>
                </c:pt>
                <c:pt idx="64">
                  <c:v>2451596</c:v>
                </c:pt>
                <c:pt idx="65">
                  <c:v>25315617</c:v>
                </c:pt>
                <c:pt idx="66">
                  <c:v>40969</c:v>
                </c:pt>
                <c:pt idx="67">
                  <c:v>2859573</c:v>
                </c:pt>
                <c:pt idx="68">
                  <c:v>5519156</c:v>
                </c:pt>
                <c:pt idx="69">
                  <c:v>17362664</c:v>
                </c:pt>
                <c:pt idx="70">
                  <c:v>2704413</c:v>
                </c:pt>
                <c:pt idx="71">
                  <c:v>274678</c:v>
                </c:pt>
                <c:pt idx="72">
                  <c:v>14765963</c:v>
                </c:pt>
                <c:pt idx="73">
                  <c:v>15480</c:v>
                </c:pt>
                <c:pt idx="74">
                  <c:v>1440145</c:v>
                </c:pt>
                <c:pt idx="75">
                  <c:v>70976</c:v>
                </c:pt>
                <c:pt idx="76">
                  <c:v>84944</c:v>
                </c:pt>
                <c:pt idx="77">
                  <c:v>3588859</c:v>
                </c:pt>
                <c:pt idx="78">
                  <c:v>265718</c:v>
                </c:pt>
                <c:pt idx="79">
                  <c:v>894880</c:v>
                </c:pt>
                <c:pt idx="80">
                  <c:v>6394464</c:v>
                </c:pt>
                <c:pt idx="81">
                  <c:v>136353</c:v>
                </c:pt>
                <c:pt idx="82">
                  <c:v>707775</c:v>
                </c:pt>
                <c:pt idx="83">
                  <c:v>7251504</c:v>
                </c:pt>
                <c:pt idx="84">
                  <c:v>101265</c:v>
                </c:pt>
                <c:pt idx="85">
                  <c:v>182185</c:v>
                </c:pt>
                <c:pt idx="86">
                  <c:v>6373233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5713384"/>
        <c:axId val="525716128"/>
      </c:barChart>
      <c:catAx>
        <c:axId val="525713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16128"/>
        <c:crosses val="autoZero"/>
        <c:auto val="1"/>
        <c:lblAlgn val="ctr"/>
        <c:lblOffset val="100"/>
        <c:noMultiLvlLbl val="0"/>
      </c:catAx>
      <c:valAx>
        <c:axId val="5257161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1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396240</xdr:colOff>
      <xdr:row>5</xdr:row>
      <xdr:rowOff>125730</xdr:rowOff>
    </xdr:from>
    <xdr:to>
      <xdr:col>16</xdr:col>
      <xdr:colOff>91440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152400</xdr:rowOff>
    </xdr:from>
    <xdr:to>
      <xdr:col>16</xdr:col>
      <xdr:colOff>213360</xdr:colOff>
      <xdr:row>15</xdr:row>
      <xdr:rowOff>45720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ProiectSSD.accdb_1" connectionId="2" autoFormatId="16" applyNumberFormats="0" applyBorderFormats="0" applyFontFormats="0" applyPatternFormats="0" applyAlignmentFormats="0" applyWidthHeightFormats="0">
  <queryTableRefresh nextId="5">
    <queryTableFields count="4">
      <queryTableField id="1" name="ID_produs" tableColumnId="1"/>
      <queryTableField id="2" name="Culoare_vin" tableColumnId="2"/>
      <queryTableField id="3" name="Categorie_vin" tableColumnId="3"/>
      <queryTableField id="4" name="Soi_struguri" tableColumnId="4"/>
    </queryTableFields>
  </queryTableRefresh>
</queryTable>
</file>

<file path=xl/queryTables/queryTable2.xml><?xml version="1.0" encoding="utf-8"?>
<queryTable xmlns="http://schemas.openxmlformats.org/spreadsheetml/2006/main" name="ProiectSSD.accdb" connectionId="5" autoFormatId="16" applyNumberFormats="0" applyBorderFormats="0" applyFontFormats="0" applyPatternFormats="0" applyAlignmentFormats="0" applyWidthHeightFormats="0">
  <queryTableRefresh nextId="8">
    <queryTableFields count="7">
      <queryTableField id="1" name="ID_actiune" tableColumnId="1"/>
      <queryTableField id="2" name="Data" tableColumnId="2"/>
      <queryTableField id="3" name="Pret" tableColumnId="3"/>
      <queryTableField id="4" name="Pret_deschidere" tableColumnId="4"/>
      <queryTableField id="5" name="Limita_max" tableColumnId="5"/>
      <queryTableField id="6" name="Limita_min" tableColumnId="6"/>
      <queryTableField id="7" name="Nr_actiuni" tableColumnId="7"/>
    </queryTableFields>
  </queryTableRefresh>
</queryTable>
</file>

<file path=xl/queryTables/queryTable3.xml><?xml version="1.0" encoding="utf-8"?>
<queryTable xmlns="http://schemas.openxmlformats.org/spreadsheetml/2006/main" name="ProiectSSD.accdb" connectionId="3" autoFormatId="16" applyNumberFormats="0" applyBorderFormats="0" applyFontFormats="0" applyPatternFormats="0" applyAlignmentFormats="0" applyWidthHeightFormats="0">
  <queryTableRefresh nextId="5">
    <queryTableFields count="4">
      <queryTableField id="1" name="ID_tara" tableColumnId="1"/>
      <queryTableField id="2" name="Nume_tara" tableColumnId="2"/>
      <queryTableField id="4" dataBound="0" tableColumnId="4"/>
      <queryTableField id="3" name="Consum_vin" tableColumnId="3"/>
    </queryTableFields>
  </queryTableRefresh>
</queryTable>
</file>

<file path=xl/queryTables/queryTable4.xml><?xml version="1.0" encoding="utf-8"?>
<queryTable xmlns="http://schemas.openxmlformats.org/spreadsheetml/2006/main" name="ProiectSSD.accdb" connectionId="1" autoFormatId="16" applyNumberFormats="0" applyBorderFormats="0" applyFontFormats="0" applyPatternFormats="0" applyAlignmentFormats="0" applyWidthHeightFormats="0">
  <queryTableRefresh nextId="6">
    <queryTableFields count="5">
      <queryTableField id="1" name="ID_vanzare" tableColumnId="1"/>
      <queryTableField id="2" name="An" tableColumnId="2"/>
      <queryTableField id="3" name="ID_brand" tableColumnId="3"/>
      <queryTableField id="4" name="Valoare_vanzare" tableColumnId="4"/>
      <queryTableField id="5" name="ID_tara" tableColumnId="5"/>
    </queryTableFields>
  </queryTableRefresh>
</queryTable>
</file>

<file path=xl/queryTables/queryTable5.xml><?xml version="1.0" encoding="utf-8"?>
<queryTable xmlns="http://schemas.openxmlformats.org/spreadsheetml/2006/main" name="ProiectSSD.accdb" connectionId="4" autoFormatId="16" applyNumberFormats="0" applyBorderFormats="0" applyFontFormats="0" applyPatternFormats="0" applyAlignmentFormats="0" applyWidthHeightFormats="0">
  <queryTableRefresh nextId="6">
    <queryTableFields count="5">
      <queryTableField id="1" name="ID_brand" tableColumnId="1"/>
      <queryTableField id="2" name="Nume_brand" tableColumnId="2"/>
      <queryTableField id="3" name="Tara_de_origine" tableColumnId="3"/>
      <queryTableField id="4" name="An_aparitie" tableColumnId="4"/>
      <queryTableField id="5" name="Tip_bran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id="4" name="Table_ProiectSSD.accdb_1" displayName="Table_ProiectSSD.accdb_1" ref="A1:D35" tableType="queryTable" totalsRowShown="0">
  <autoFilter ref="A1:D35"/>
  <sortState ref="A2:D35">
    <sortCondition ref="A1:A35"/>
  </sortState>
  <tableColumns count="4">
    <tableColumn id="1" uniqueName="1" name="ID_produs" queryTableFieldId="1"/>
    <tableColumn id="2" uniqueName="2" name="Culoare_vin" queryTableFieldId="2"/>
    <tableColumn id="3" uniqueName="3" name="Categorie_vin" queryTableFieldId="3"/>
    <tableColumn id="4" uniqueName="4" name="Soi_struguri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ProiectSSD.accdb3" displayName="Table_ProiectSSD.accdb3" ref="A1:G65" tableType="queryTable" totalsRowShown="0">
  <autoFilter ref="A1:G65"/>
  <tableColumns count="7">
    <tableColumn id="1" uniqueName="1" name="ID_actiune" queryTableFieldId="1"/>
    <tableColumn id="2" uniqueName="2" name="Data" queryTableFieldId="2" dataDxfId="1"/>
    <tableColumn id="3" uniqueName="3" name="Pret" queryTableFieldId="3"/>
    <tableColumn id="4" uniqueName="4" name="Pret_deschidere" queryTableFieldId="4"/>
    <tableColumn id="5" uniqueName="5" name="Limita_max" queryTableFieldId="5"/>
    <tableColumn id="6" uniqueName="6" name="Limita_min" queryTableFieldId="6"/>
    <tableColumn id="7" uniqueName="7" name="Nr_actiuni" queryTableField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_ProiectSSD.accdb6" displayName="Table_ProiectSSD.accdb6" ref="A1:D6" tableType="queryTable" totalsRowShown="0">
  <autoFilter ref="A1:D6"/>
  <sortState ref="A2:D6">
    <sortCondition ref="B1:B6"/>
  </sortState>
  <tableColumns count="4">
    <tableColumn id="1" uniqueName="1" name="ID_tara" queryTableFieldId="1"/>
    <tableColumn id="2" uniqueName="2" name="Nume_tara" queryTableFieldId="2"/>
    <tableColumn id="4" uniqueName="4" name="Nume" queryTableFieldId="4" dataDxfId="0">
      <calculatedColumnFormula>PROPER(Table_ProiectSSD.accdb6[[#This Row],[Nume_tara]])</calculatedColumnFormula>
    </tableColumn>
    <tableColumn id="3" uniqueName="3" name="Consum_vin" queryTableField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Table_ProiectSSD.accdb" displayName="Table_ProiectSSD.accdb" ref="A1:E88" tableType="queryTable" totalsRowShown="0">
  <autoFilter ref="A1:E88"/>
  <tableColumns count="5">
    <tableColumn id="1" uniqueName="1" name="ID_vanzare" queryTableFieldId="1"/>
    <tableColumn id="2" uniqueName="2" name="An" queryTableFieldId="2"/>
    <tableColumn id="3" uniqueName="3" name="ID_brand" queryTableFieldId="3"/>
    <tableColumn id="4" uniqueName="4" name="Valoare_vanzare" queryTableFieldId="4"/>
    <tableColumn id="5" uniqueName="5" name="ID_tara" queryTableField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_ProiectSSD.accdb7" displayName="Table_ProiectSSD.accdb7" ref="A1:E5" tableType="queryTable" totalsRowShown="0">
  <autoFilter ref="A1:E5"/>
  <tableColumns count="5">
    <tableColumn id="1" uniqueName="1" name="ID_brand" queryTableFieldId="1"/>
    <tableColumn id="2" uniqueName="2" name="Nume_brand" queryTableFieldId="2"/>
    <tableColumn id="3" uniqueName="3" name="Tara_de_origine" queryTableFieldId="3"/>
    <tableColumn id="4" uniqueName="4" name="An_aparitie" queryTableFieldId="4"/>
    <tableColumn id="5" uniqueName="5" name="Tip_brand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selection activeCell="G24" sqref="G24"/>
    </sheetView>
  </sheetViews>
  <sheetFormatPr defaultRowHeight="14.4" x14ac:dyDescent="0.3"/>
  <cols>
    <col min="1" max="1" width="11.88671875" bestFit="1" customWidth="1"/>
    <col min="2" max="2" width="13.21875" bestFit="1" customWidth="1"/>
    <col min="3" max="3" width="14.77734375" bestFit="1" customWidth="1"/>
    <col min="4" max="4" width="34.44140625" bestFit="1" customWidth="1"/>
  </cols>
  <sheetData>
    <row r="1" spans="1:4" x14ac:dyDescent="0.3">
      <c r="A1" t="s">
        <v>5</v>
      </c>
      <c r="B1" t="s">
        <v>6</v>
      </c>
      <c r="C1" t="s">
        <v>7</v>
      </c>
      <c r="D1" t="s">
        <v>8</v>
      </c>
    </row>
    <row r="2" spans="1:4" x14ac:dyDescent="0.3">
      <c r="A2">
        <v>1</v>
      </c>
      <c r="B2" t="s">
        <v>13</v>
      </c>
      <c r="C2" t="s">
        <v>34</v>
      </c>
      <c r="D2" t="s">
        <v>35</v>
      </c>
    </row>
    <row r="3" spans="1:4" x14ac:dyDescent="0.3">
      <c r="A3">
        <v>2</v>
      </c>
      <c r="B3" t="s">
        <v>11</v>
      </c>
      <c r="C3" t="s">
        <v>12</v>
      </c>
      <c r="D3" t="s">
        <v>38</v>
      </c>
    </row>
    <row r="4" spans="1:4" x14ac:dyDescent="0.3">
      <c r="A4">
        <v>3</v>
      </c>
      <c r="B4" t="s">
        <v>13</v>
      </c>
      <c r="C4" t="s">
        <v>12</v>
      </c>
      <c r="D4" t="s">
        <v>14</v>
      </c>
    </row>
    <row r="5" spans="1:4" x14ac:dyDescent="0.3">
      <c r="A5">
        <v>4</v>
      </c>
      <c r="B5" t="s">
        <v>15</v>
      </c>
      <c r="C5" t="s">
        <v>16</v>
      </c>
      <c r="D5" t="s">
        <v>17</v>
      </c>
    </row>
    <row r="6" spans="1:4" x14ac:dyDescent="0.3">
      <c r="A6">
        <v>5</v>
      </c>
      <c r="B6" t="s">
        <v>11</v>
      </c>
      <c r="C6" t="s">
        <v>12</v>
      </c>
      <c r="D6" t="s">
        <v>18</v>
      </c>
    </row>
    <row r="7" spans="1:4" x14ac:dyDescent="0.3">
      <c r="A7">
        <v>6</v>
      </c>
      <c r="B7" t="s">
        <v>11</v>
      </c>
      <c r="C7" t="s">
        <v>12</v>
      </c>
      <c r="D7" t="s">
        <v>19</v>
      </c>
    </row>
    <row r="8" spans="1:4" x14ac:dyDescent="0.3">
      <c r="A8">
        <v>7</v>
      </c>
      <c r="B8" t="s">
        <v>11</v>
      </c>
      <c r="C8" t="s">
        <v>12</v>
      </c>
      <c r="D8" t="s">
        <v>20</v>
      </c>
    </row>
    <row r="9" spans="1:4" x14ac:dyDescent="0.3">
      <c r="A9">
        <v>8</v>
      </c>
      <c r="B9" t="s">
        <v>11</v>
      </c>
      <c r="C9" t="s">
        <v>12</v>
      </c>
      <c r="D9" t="s">
        <v>21</v>
      </c>
    </row>
    <row r="10" spans="1:4" x14ac:dyDescent="0.3">
      <c r="A10">
        <v>9</v>
      </c>
      <c r="B10" t="s">
        <v>11</v>
      </c>
      <c r="C10" t="s">
        <v>12</v>
      </c>
      <c r="D10" t="s">
        <v>38</v>
      </c>
    </row>
    <row r="11" spans="1:4" x14ac:dyDescent="0.3">
      <c r="A11">
        <v>10</v>
      </c>
      <c r="B11" t="s">
        <v>13</v>
      </c>
      <c r="C11" t="s">
        <v>12</v>
      </c>
      <c r="D11" t="s">
        <v>22</v>
      </c>
    </row>
    <row r="12" spans="1:4" x14ac:dyDescent="0.3">
      <c r="A12">
        <v>11</v>
      </c>
      <c r="B12" t="s">
        <v>15</v>
      </c>
      <c r="C12" t="s">
        <v>12</v>
      </c>
      <c r="D12" t="s">
        <v>21</v>
      </c>
    </row>
    <row r="13" spans="1:4" x14ac:dyDescent="0.3">
      <c r="A13">
        <v>12</v>
      </c>
      <c r="B13" t="s">
        <v>11</v>
      </c>
      <c r="C13" t="s">
        <v>12</v>
      </c>
      <c r="D13" t="s">
        <v>39</v>
      </c>
    </row>
    <row r="14" spans="1:4" x14ac:dyDescent="0.3">
      <c r="A14">
        <v>13</v>
      </c>
      <c r="B14" t="s">
        <v>13</v>
      </c>
      <c r="C14" t="s">
        <v>23</v>
      </c>
      <c r="D14" t="s">
        <v>24</v>
      </c>
    </row>
    <row r="15" spans="1:4" x14ac:dyDescent="0.3">
      <c r="A15">
        <v>14</v>
      </c>
      <c r="B15" t="s">
        <v>15</v>
      </c>
      <c r="C15" t="s">
        <v>23</v>
      </c>
      <c r="D15" t="s">
        <v>38</v>
      </c>
    </row>
    <row r="16" spans="1:4" x14ac:dyDescent="0.3">
      <c r="A16">
        <v>15</v>
      </c>
      <c r="B16" t="s">
        <v>15</v>
      </c>
      <c r="C16" t="s">
        <v>12</v>
      </c>
      <c r="D16" t="s">
        <v>40</v>
      </c>
    </row>
    <row r="17" spans="1:4" x14ac:dyDescent="0.3">
      <c r="A17">
        <v>16</v>
      </c>
      <c r="B17" t="s">
        <v>11</v>
      </c>
      <c r="C17" t="s">
        <v>12</v>
      </c>
      <c r="D17" t="s">
        <v>38</v>
      </c>
    </row>
    <row r="18" spans="1:4" x14ac:dyDescent="0.3">
      <c r="A18">
        <v>17</v>
      </c>
      <c r="B18" t="s">
        <v>13</v>
      </c>
      <c r="C18" t="s">
        <v>12</v>
      </c>
      <c r="D18" t="s">
        <v>14</v>
      </c>
    </row>
    <row r="19" spans="1:4" x14ac:dyDescent="0.3">
      <c r="A19">
        <v>18</v>
      </c>
      <c r="B19" t="s">
        <v>15</v>
      </c>
      <c r="C19" t="s">
        <v>25</v>
      </c>
      <c r="D19" t="s">
        <v>26</v>
      </c>
    </row>
    <row r="20" spans="1:4" x14ac:dyDescent="0.3">
      <c r="A20">
        <v>19</v>
      </c>
      <c r="B20" t="s">
        <v>11</v>
      </c>
      <c r="C20" t="s">
        <v>23</v>
      </c>
      <c r="D20" t="s">
        <v>38</v>
      </c>
    </row>
    <row r="21" spans="1:4" x14ac:dyDescent="0.3">
      <c r="A21">
        <v>20</v>
      </c>
      <c r="B21" t="s">
        <v>11</v>
      </c>
      <c r="C21" t="s">
        <v>25</v>
      </c>
      <c r="D21" t="s">
        <v>27</v>
      </c>
    </row>
    <row r="22" spans="1:4" x14ac:dyDescent="0.3">
      <c r="A22">
        <v>21</v>
      </c>
      <c r="B22" t="s">
        <v>13</v>
      </c>
      <c r="C22" t="s">
        <v>23</v>
      </c>
      <c r="D22" t="s">
        <v>28</v>
      </c>
    </row>
    <row r="23" spans="1:4" x14ac:dyDescent="0.3">
      <c r="A23">
        <v>22</v>
      </c>
      <c r="B23" t="s">
        <v>11</v>
      </c>
      <c r="C23" t="s">
        <v>12</v>
      </c>
      <c r="D23" t="s">
        <v>41</v>
      </c>
    </row>
    <row r="24" spans="1:4" x14ac:dyDescent="0.3">
      <c r="A24">
        <v>23</v>
      </c>
      <c r="B24" t="s">
        <v>13</v>
      </c>
      <c r="C24" t="s">
        <v>16</v>
      </c>
      <c r="D24" t="s">
        <v>29</v>
      </c>
    </row>
    <row r="25" spans="1:4" x14ac:dyDescent="0.3">
      <c r="A25">
        <v>24</v>
      </c>
      <c r="B25" t="s">
        <v>15</v>
      </c>
      <c r="C25" t="s">
        <v>23</v>
      </c>
      <c r="D25" t="s">
        <v>30</v>
      </c>
    </row>
    <row r="26" spans="1:4" x14ac:dyDescent="0.3">
      <c r="A26">
        <v>25</v>
      </c>
      <c r="B26" t="s">
        <v>13</v>
      </c>
      <c r="C26" t="s">
        <v>23</v>
      </c>
      <c r="D26" t="s">
        <v>31</v>
      </c>
    </row>
    <row r="27" spans="1:4" x14ac:dyDescent="0.3">
      <c r="A27">
        <v>26</v>
      </c>
      <c r="B27" t="s">
        <v>13</v>
      </c>
      <c r="C27" t="s">
        <v>12</v>
      </c>
      <c r="D27" t="s">
        <v>32</v>
      </c>
    </row>
    <row r="28" spans="1:4" x14ac:dyDescent="0.3">
      <c r="A28">
        <v>27</v>
      </c>
      <c r="B28" t="s">
        <v>15</v>
      </c>
      <c r="C28" t="s">
        <v>25</v>
      </c>
      <c r="D28" t="s">
        <v>33</v>
      </c>
    </row>
    <row r="29" spans="1:4" x14ac:dyDescent="0.3">
      <c r="A29">
        <v>28</v>
      </c>
      <c r="B29" t="s">
        <v>13</v>
      </c>
      <c r="C29" t="s">
        <v>12</v>
      </c>
      <c r="D29" t="s">
        <v>14</v>
      </c>
    </row>
    <row r="30" spans="1:4" x14ac:dyDescent="0.3">
      <c r="A30">
        <v>29</v>
      </c>
      <c r="B30" t="s">
        <v>15</v>
      </c>
      <c r="C30" t="s">
        <v>12</v>
      </c>
      <c r="D30" t="s">
        <v>42</v>
      </c>
    </row>
    <row r="31" spans="1:4" x14ac:dyDescent="0.3">
      <c r="A31">
        <v>30</v>
      </c>
      <c r="B31" t="s">
        <v>11</v>
      </c>
      <c r="C31" t="s">
        <v>12</v>
      </c>
      <c r="D31" t="s">
        <v>43</v>
      </c>
    </row>
    <row r="32" spans="1:4" x14ac:dyDescent="0.3">
      <c r="A32">
        <v>31</v>
      </c>
      <c r="B32" t="s">
        <v>9</v>
      </c>
      <c r="C32" t="s">
        <v>36</v>
      </c>
      <c r="D32" t="s">
        <v>44</v>
      </c>
    </row>
    <row r="33" spans="1:4" x14ac:dyDescent="0.3">
      <c r="A33">
        <v>32</v>
      </c>
      <c r="B33" t="s">
        <v>9</v>
      </c>
      <c r="C33" t="s">
        <v>10</v>
      </c>
      <c r="D33" t="s">
        <v>44</v>
      </c>
    </row>
    <row r="34" spans="1:4" x14ac:dyDescent="0.3">
      <c r="A34">
        <v>33</v>
      </c>
      <c r="B34" t="s">
        <v>9</v>
      </c>
      <c r="C34" t="s">
        <v>10</v>
      </c>
      <c r="D34" t="s">
        <v>44</v>
      </c>
    </row>
    <row r="35" spans="1:4" x14ac:dyDescent="0.3">
      <c r="A35">
        <v>34</v>
      </c>
      <c r="B35" t="s">
        <v>9</v>
      </c>
      <c r="C35" t="s">
        <v>37</v>
      </c>
      <c r="D35" t="s">
        <v>44</v>
      </c>
    </row>
  </sheetData>
  <dataValidations count="3">
    <dataValidation type="list" allowBlank="1" showInputMessage="1" showErrorMessage="1" sqref="E23">
      <formula1>$B$2:$B$35</formula1>
    </dataValidation>
    <dataValidation type="list" allowBlank="1" showInputMessage="1" showErrorMessage="1" errorTitle="Valoare invalidă" error="Introdu una dintre valorile permise: alb,rosu,rose,ambra." sqref="B3:B35">
      <formula1>"alb,rosu,rose.ambra"</formula1>
    </dataValidation>
    <dataValidation type="list" allowBlank="1" showInputMessage="1" showErrorMessage="1" errorTitle="Valoare invalidă" error="Introdu una dintre valorile permise: alb,rosu,rose,ambra." sqref="B2">
      <formula1>"alb,rosu,rose,ambra"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tabSelected="1" topLeftCell="A6" workbookViewId="0">
      <selection activeCell="O24" sqref="O24"/>
    </sheetView>
  </sheetViews>
  <sheetFormatPr defaultRowHeight="14.4" x14ac:dyDescent="0.3"/>
  <cols>
    <col min="1" max="1" width="12.21875" bestFit="1" customWidth="1"/>
    <col min="2" max="2" width="9.5546875" bestFit="1" customWidth="1"/>
    <col min="3" max="3" width="6.6640625" bestFit="1" customWidth="1"/>
    <col min="4" max="4" width="16.88671875" bestFit="1" customWidth="1"/>
    <col min="5" max="5" width="12.88671875" bestFit="1" customWidth="1"/>
    <col min="6" max="6" width="12.5546875" bestFit="1" customWidth="1"/>
    <col min="7" max="7" width="11.88671875" bestFit="1" customWidth="1"/>
    <col min="10" max="10" width="21.33203125" bestFit="1" customWidth="1"/>
    <col min="11" max="11" width="12" bestFit="1" customWidth="1"/>
  </cols>
  <sheetData>
    <row r="1" spans="1:7" x14ac:dyDescent="0.3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spans="1:7" x14ac:dyDescent="0.3">
      <c r="A2">
        <v>1</v>
      </c>
      <c r="B2" s="5">
        <v>45261</v>
      </c>
      <c r="C2">
        <v>14.34</v>
      </c>
      <c r="D2">
        <v>13.7</v>
      </c>
      <c r="E2">
        <v>14.38</v>
      </c>
      <c r="F2">
        <v>13.6</v>
      </c>
      <c r="G2">
        <v>465928</v>
      </c>
    </row>
    <row r="3" spans="1:7" x14ac:dyDescent="0.3">
      <c r="A3">
        <v>2</v>
      </c>
      <c r="B3" s="5">
        <v>45231</v>
      </c>
      <c r="C3">
        <v>13.66</v>
      </c>
      <c r="D3">
        <v>12.48</v>
      </c>
      <c r="E3">
        <v>14</v>
      </c>
      <c r="F3">
        <v>12.44</v>
      </c>
      <c r="G3">
        <v>339422</v>
      </c>
    </row>
    <row r="4" spans="1:7" x14ac:dyDescent="0.3">
      <c r="A4">
        <v>3</v>
      </c>
      <c r="B4" s="5">
        <v>45200</v>
      </c>
      <c r="C4">
        <v>12.48</v>
      </c>
      <c r="D4">
        <v>12.82</v>
      </c>
      <c r="E4">
        <v>12.82</v>
      </c>
      <c r="F4">
        <v>12.26</v>
      </c>
      <c r="G4">
        <v>332274</v>
      </c>
    </row>
    <row r="5" spans="1:7" x14ac:dyDescent="0.3">
      <c r="A5">
        <v>4</v>
      </c>
      <c r="B5" s="5">
        <v>45170</v>
      </c>
      <c r="C5">
        <v>12.82</v>
      </c>
      <c r="D5">
        <v>11.6</v>
      </c>
      <c r="E5">
        <v>12.9</v>
      </c>
      <c r="F5">
        <v>11.5</v>
      </c>
      <c r="G5">
        <v>662996</v>
      </c>
    </row>
    <row r="6" spans="1:7" x14ac:dyDescent="0.3">
      <c r="A6">
        <v>5</v>
      </c>
      <c r="B6" s="5">
        <v>45139</v>
      </c>
      <c r="C6">
        <v>11.54</v>
      </c>
      <c r="D6">
        <v>11.56</v>
      </c>
      <c r="E6">
        <v>11.9</v>
      </c>
      <c r="F6">
        <v>11.28</v>
      </c>
      <c r="G6">
        <v>462021</v>
      </c>
    </row>
    <row r="7" spans="1:7" x14ac:dyDescent="0.3">
      <c r="A7">
        <v>6</v>
      </c>
      <c r="B7" s="5">
        <v>45108</v>
      </c>
      <c r="C7">
        <v>11.56</v>
      </c>
      <c r="D7">
        <v>10.56</v>
      </c>
      <c r="E7">
        <v>11.94</v>
      </c>
      <c r="F7">
        <v>10.4</v>
      </c>
      <c r="G7">
        <v>722610</v>
      </c>
    </row>
    <row r="8" spans="1:7" x14ac:dyDescent="0.3">
      <c r="A8">
        <v>7</v>
      </c>
      <c r="B8" s="5">
        <v>45078</v>
      </c>
      <c r="C8">
        <v>10.46</v>
      </c>
      <c r="D8">
        <v>9.8699999999999992</v>
      </c>
      <c r="E8">
        <v>10.7</v>
      </c>
      <c r="F8">
        <v>9.8000000000000007</v>
      </c>
      <c r="G8">
        <v>547533</v>
      </c>
    </row>
    <row r="9" spans="1:7" x14ac:dyDescent="0.3">
      <c r="A9">
        <v>8</v>
      </c>
      <c r="B9" s="5">
        <v>45047</v>
      </c>
      <c r="C9">
        <v>9.8699999999999992</v>
      </c>
      <c r="D9">
        <v>10</v>
      </c>
      <c r="E9">
        <v>10.08</v>
      </c>
      <c r="F9">
        <v>9.5399999999999991</v>
      </c>
      <c r="G9">
        <v>440500</v>
      </c>
    </row>
    <row r="10" spans="1:7" x14ac:dyDescent="0.3">
      <c r="A10">
        <v>9</v>
      </c>
      <c r="B10" s="5">
        <v>45017</v>
      </c>
      <c r="C10">
        <v>10</v>
      </c>
      <c r="D10">
        <v>9.1999999999999993</v>
      </c>
      <c r="E10">
        <v>10.199999999999999</v>
      </c>
      <c r="F10">
        <v>9.14</v>
      </c>
      <c r="G10">
        <v>595648</v>
      </c>
    </row>
    <row r="11" spans="1:7" x14ac:dyDescent="0.3">
      <c r="A11">
        <v>10</v>
      </c>
      <c r="B11" s="5">
        <v>44986</v>
      </c>
      <c r="C11">
        <v>9.1999999999999993</v>
      </c>
      <c r="D11">
        <v>9</v>
      </c>
      <c r="E11">
        <v>9.24</v>
      </c>
      <c r="F11">
        <v>8.77</v>
      </c>
      <c r="G11">
        <v>534320</v>
      </c>
    </row>
    <row r="12" spans="1:7" x14ac:dyDescent="0.3">
      <c r="A12">
        <v>11</v>
      </c>
      <c r="B12" s="5">
        <v>44958</v>
      </c>
      <c r="C12">
        <v>8.9</v>
      </c>
      <c r="D12">
        <v>9.18</v>
      </c>
      <c r="E12">
        <v>9.2100000000000009</v>
      </c>
      <c r="F12">
        <v>8.7100000000000009</v>
      </c>
      <c r="G12">
        <v>1100297</v>
      </c>
    </row>
    <row r="13" spans="1:7" x14ac:dyDescent="0.3">
      <c r="A13">
        <v>12</v>
      </c>
      <c r="B13" s="5">
        <v>44927</v>
      </c>
      <c r="C13">
        <v>9.18</v>
      </c>
      <c r="D13">
        <v>8.5</v>
      </c>
      <c r="E13">
        <v>9.2899999999999991</v>
      </c>
      <c r="F13">
        <v>8.49</v>
      </c>
      <c r="G13">
        <v>782967</v>
      </c>
    </row>
    <row r="14" spans="1:7" x14ac:dyDescent="0.3">
      <c r="A14">
        <v>13</v>
      </c>
      <c r="B14" s="5">
        <v>44896</v>
      </c>
      <c r="C14">
        <v>8.49</v>
      </c>
      <c r="D14">
        <v>8.81</v>
      </c>
      <c r="E14">
        <v>8.98</v>
      </c>
      <c r="F14">
        <v>8.3800000000000008</v>
      </c>
      <c r="G14">
        <v>710513</v>
      </c>
    </row>
    <row r="15" spans="1:7" x14ac:dyDescent="0.3">
      <c r="A15">
        <v>14</v>
      </c>
      <c r="B15" s="5">
        <v>44866</v>
      </c>
      <c r="C15">
        <v>8.7799999999999994</v>
      </c>
      <c r="D15">
        <v>8.9</v>
      </c>
      <c r="E15">
        <v>8.9499999999999993</v>
      </c>
      <c r="F15">
        <v>8.6</v>
      </c>
      <c r="G15">
        <v>583397</v>
      </c>
    </row>
    <row r="16" spans="1:7" x14ac:dyDescent="0.3">
      <c r="A16">
        <v>15</v>
      </c>
      <c r="B16" s="5">
        <v>44835</v>
      </c>
      <c r="C16">
        <v>8.85</v>
      </c>
      <c r="D16">
        <v>8.75</v>
      </c>
      <c r="E16">
        <v>9</v>
      </c>
      <c r="F16">
        <v>8.52</v>
      </c>
      <c r="G16">
        <v>570378</v>
      </c>
    </row>
    <row r="17" spans="1:12" x14ac:dyDescent="0.3">
      <c r="A17">
        <v>16</v>
      </c>
      <c r="B17" s="5">
        <v>44805</v>
      </c>
      <c r="C17">
        <v>8.6</v>
      </c>
      <c r="D17">
        <v>9.1300000000000008</v>
      </c>
      <c r="E17">
        <v>9.2899999999999991</v>
      </c>
      <c r="F17">
        <v>8.43</v>
      </c>
      <c r="G17">
        <v>681736</v>
      </c>
    </row>
    <row r="18" spans="1:12" x14ac:dyDescent="0.3">
      <c r="A18">
        <v>17</v>
      </c>
      <c r="B18" s="5">
        <v>44774</v>
      </c>
      <c r="C18">
        <v>9.1300000000000008</v>
      </c>
      <c r="D18">
        <v>9.2899999999999991</v>
      </c>
      <c r="E18">
        <v>9.58</v>
      </c>
      <c r="F18">
        <v>8.99</v>
      </c>
      <c r="G18">
        <v>812737</v>
      </c>
    </row>
    <row r="19" spans="1:12" x14ac:dyDescent="0.3">
      <c r="A19">
        <v>18</v>
      </c>
      <c r="B19" s="5">
        <v>44743</v>
      </c>
      <c r="C19">
        <v>9.2799999999999994</v>
      </c>
      <c r="D19">
        <v>9.06</v>
      </c>
      <c r="E19">
        <v>9.4</v>
      </c>
      <c r="F19">
        <v>9.02</v>
      </c>
      <c r="G19">
        <v>315691</v>
      </c>
    </row>
    <row r="20" spans="1:12" x14ac:dyDescent="0.3">
      <c r="A20">
        <v>19</v>
      </c>
      <c r="B20" s="5">
        <v>44713</v>
      </c>
      <c r="C20">
        <v>9.0299999999999994</v>
      </c>
      <c r="D20">
        <v>9.19</v>
      </c>
      <c r="E20">
        <v>9.3000000000000007</v>
      </c>
      <c r="F20">
        <v>8.64</v>
      </c>
      <c r="G20">
        <v>1055384</v>
      </c>
    </row>
    <row r="21" spans="1:12" x14ac:dyDescent="0.3">
      <c r="A21">
        <v>21</v>
      </c>
      <c r="B21" s="5">
        <v>44652</v>
      </c>
      <c r="C21">
        <v>9.73</v>
      </c>
      <c r="D21">
        <v>11.4</v>
      </c>
      <c r="E21">
        <v>11.82</v>
      </c>
      <c r="F21">
        <v>9.56</v>
      </c>
      <c r="G21">
        <v>730823</v>
      </c>
      <c r="I21" s="4"/>
      <c r="J21" s="4"/>
      <c r="K21" s="4"/>
      <c r="L21" s="4"/>
    </row>
    <row r="22" spans="1:12" ht="15" thickBot="1" x14ac:dyDescent="0.35">
      <c r="A22">
        <v>23</v>
      </c>
      <c r="B22" s="5">
        <v>44593</v>
      </c>
      <c r="C22">
        <v>12</v>
      </c>
      <c r="D22">
        <v>15.15</v>
      </c>
      <c r="E22">
        <v>16.100000000000001</v>
      </c>
      <c r="F22">
        <v>11.75</v>
      </c>
      <c r="G22">
        <v>1013351</v>
      </c>
      <c r="I22" s="4"/>
      <c r="J22" s="1"/>
      <c r="K22" s="1"/>
      <c r="L22" s="4"/>
    </row>
    <row r="23" spans="1:12" x14ac:dyDescent="0.3">
      <c r="A23">
        <v>24</v>
      </c>
      <c r="B23" s="5">
        <v>44562</v>
      </c>
      <c r="C23">
        <v>15.15</v>
      </c>
      <c r="D23">
        <v>15</v>
      </c>
      <c r="E23">
        <v>16.75</v>
      </c>
      <c r="F23">
        <v>14.35</v>
      </c>
      <c r="G23">
        <v>725035</v>
      </c>
      <c r="I23" s="4"/>
      <c r="J23" s="3" t="s">
        <v>85</v>
      </c>
      <c r="K23" s="3"/>
      <c r="L23" s="4"/>
    </row>
    <row r="24" spans="1:12" x14ac:dyDescent="0.3">
      <c r="A24">
        <v>25</v>
      </c>
      <c r="B24" s="5">
        <v>44531</v>
      </c>
      <c r="C24">
        <v>14.9</v>
      </c>
      <c r="D24">
        <v>14.7</v>
      </c>
      <c r="E24">
        <v>15.2</v>
      </c>
      <c r="F24">
        <v>14.4</v>
      </c>
      <c r="G24">
        <v>369256</v>
      </c>
      <c r="I24" s="4"/>
      <c r="J24" s="1"/>
      <c r="K24" s="1"/>
      <c r="L24" s="4"/>
    </row>
    <row r="25" spans="1:12" x14ac:dyDescent="0.3">
      <c r="A25">
        <v>26</v>
      </c>
      <c r="B25" s="5">
        <v>44501</v>
      </c>
      <c r="C25">
        <v>14.75</v>
      </c>
      <c r="D25">
        <v>14.9</v>
      </c>
      <c r="E25">
        <v>15.2</v>
      </c>
      <c r="F25">
        <v>14.55</v>
      </c>
      <c r="G25">
        <v>421757</v>
      </c>
      <c r="I25" s="4"/>
      <c r="J25" s="1" t="s">
        <v>65</v>
      </c>
      <c r="K25" s="1">
        <v>478878.921875</v>
      </c>
      <c r="L25" s="4"/>
    </row>
    <row r="26" spans="1:12" x14ac:dyDescent="0.3">
      <c r="A26">
        <v>27</v>
      </c>
      <c r="B26" s="5">
        <v>44470</v>
      </c>
      <c r="C26">
        <v>14.85</v>
      </c>
      <c r="D26">
        <v>15.25</v>
      </c>
      <c r="E26">
        <v>15.35</v>
      </c>
      <c r="F26">
        <v>14.35</v>
      </c>
      <c r="G26">
        <v>879953</v>
      </c>
      <c r="I26" s="4"/>
      <c r="J26" s="1" t="s">
        <v>66</v>
      </c>
      <c r="K26" s="1">
        <v>37630.300902900177</v>
      </c>
      <c r="L26" s="4"/>
    </row>
    <row r="27" spans="1:12" x14ac:dyDescent="0.3">
      <c r="A27">
        <v>28</v>
      </c>
      <c r="B27" s="5">
        <v>44440</v>
      </c>
      <c r="C27">
        <v>15.25</v>
      </c>
      <c r="D27">
        <v>15</v>
      </c>
      <c r="E27">
        <v>15.55</v>
      </c>
      <c r="F27">
        <v>14.9</v>
      </c>
      <c r="G27">
        <v>642297</v>
      </c>
      <c r="I27" s="4"/>
      <c r="J27" s="1" t="s">
        <v>67</v>
      </c>
      <c r="K27" s="1">
        <v>464141</v>
      </c>
      <c r="L27" s="4"/>
    </row>
    <row r="28" spans="1:12" x14ac:dyDescent="0.3">
      <c r="A28">
        <v>29</v>
      </c>
      <c r="B28" s="5">
        <v>44409</v>
      </c>
      <c r="C28">
        <v>15</v>
      </c>
      <c r="D28">
        <v>14.75</v>
      </c>
      <c r="E28">
        <v>15.5</v>
      </c>
      <c r="F28">
        <v>14.4</v>
      </c>
      <c r="G28">
        <v>1051583</v>
      </c>
      <c r="I28" s="4"/>
      <c r="J28" s="1" t="s">
        <v>68</v>
      </c>
      <c r="K28" s="1" t="e">
        <v>#N/A</v>
      </c>
      <c r="L28" s="4"/>
    </row>
    <row r="29" spans="1:12" x14ac:dyDescent="0.3">
      <c r="A29">
        <v>31</v>
      </c>
      <c r="B29" s="5">
        <v>44348</v>
      </c>
      <c r="C29">
        <v>16.05</v>
      </c>
      <c r="D29">
        <v>14.2</v>
      </c>
      <c r="E29">
        <v>16.100000000000001</v>
      </c>
      <c r="F29">
        <v>13.8</v>
      </c>
      <c r="G29">
        <v>781370</v>
      </c>
      <c r="I29" s="4"/>
      <c r="J29" s="1" t="s">
        <v>69</v>
      </c>
      <c r="K29" s="1">
        <v>301042.40722320142</v>
      </c>
      <c r="L29" s="4"/>
    </row>
    <row r="30" spans="1:12" x14ac:dyDescent="0.3">
      <c r="A30">
        <v>32</v>
      </c>
      <c r="B30" s="5">
        <v>44317</v>
      </c>
      <c r="C30">
        <v>14.15</v>
      </c>
      <c r="D30">
        <v>14.05</v>
      </c>
      <c r="E30">
        <v>14.45</v>
      </c>
      <c r="F30">
        <v>13.75</v>
      </c>
      <c r="G30">
        <v>516438</v>
      </c>
      <c r="I30" s="4"/>
      <c r="J30" s="1" t="s">
        <v>70</v>
      </c>
      <c r="K30" s="1">
        <v>90626530946.739838</v>
      </c>
      <c r="L30" s="4"/>
    </row>
    <row r="31" spans="1:12" x14ac:dyDescent="0.3">
      <c r="A31">
        <v>35</v>
      </c>
      <c r="B31" s="5">
        <v>44228</v>
      </c>
      <c r="C31">
        <v>12</v>
      </c>
      <c r="D31">
        <v>11.2</v>
      </c>
      <c r="E31">
        <v>12.65</v>
      </c>
      <c r="F31">
        <v>11.2</v>
      </c>
      <c r="G31">
        <v>1046586</v>
      </c>
      <c r="I31" s="4"/>
      <c r="J31" s="1" t="s">
        <v>71</v>
      </c>
      <c r="K31" s="1">
        <v>-0.9132534332038702</v>
      </c>
      <c r="L31" s="4"/>
    </row>
    <row r="32" spans="1:12" x14ac:dyDescent="0.3">
      <c r="A32">
        <v>36</v>
      </c>
      <c r="B32" s="5">
        <v>44197</v>
      </c>
      <c r="C32">
        <v>11.2</v>
      </c>
      <c r="D32">
        <v>11.15</v>
      </c>
      <c r="E32">
        <v>11.5</v>
      </c>
      <c r="F32">
        <v>11</v>
      </c>
      <c r="G32">
        <v>635598</v>
      </c>
      <c r="I32" s="4"/>
      <c r="J32" s="1" t="s">
        <v>72</v>
      </c>
      <c r="K32" s="1">
        <v>0.30220287931582712</v>
      </c>
      <c r="L32" s="4"/>
    </row>
    <row r="33" spans="1:12" x14ac:dyDescent="0.3">
      <c r="A33">
        <v>37</v>
      </c>
      <c r="B33" s="5">
        <v>44166</v>
      </c>
      <c r="C33">
        <v>11</v>
      </c>
      <c r="D33">
        <v>10.75</v>
      </c>
      <c r="E33">
        <v>11.3</v>
      </c>
      <c r="F33">
        <v>10.65</v>
      </c>
      <c r="G33">
        <v>749690</v>
      </c>
      <c r="I33" s="4"/>
      <c r="J33" s="1" t="s">
        <v>73</v>
      </c>
      <c r="K33" s="1">
        <v>1052719</v>
      </c>
      <c r="L33" s="4"/>
    </row>
    <row r="34" spans="1:12" x14ac:dyDescent="0.3">
      <c r="A34">
        <v>38</v>
      </c>
      <c r="B34" s="5">
        <v>44136</v>
      </c>
      <c r="C34">
        <v>10.8</v>
      </c>
      <c r="D34">
        <v>10.6</v>
      </c>
      <c r="E34">
        <v>11.05</v>
      </c>
      <c r="F34">
        <v>10.35</v>
      </c>
      <c r="G34">
        <v>490654</v>
      </c>
      <c r="I34" s="4"/>
      <c r="J34" s="1" t="s">
        <v>74</v>
      </c>
      <c r="K34" s="1">
        <v>47578</v>
      </c>
      <c r="L34" s="4"/>
    </row>
    <row r="35" spans="1:12" x14ac:dyDescent="0.3">
      <c r="A35">
        <v>39</v>
      </c>
      <c r="B35" s="5">
        <v>44105</v>
      </c>
      <c r="C35">
        <v>10.45</v>
      </c>
      <c r="D35">
        <v>11.75</v>
      </c>
      <c r="E35">
        <v>11.75</v>
      </c>
      <c r="F35">
        <v>10.45</v>
      </c>
      <c r="G35">
        <v>137726</v>
      </c>
      <c r="J35" s="1" t="s">
        <v>75</v>
      </c>
      <c r="K35" s="1">
        <v>1100297</v>
      </c>
    </row>
    <row r="36" spans="1:12" x14ac:dyDescent="0.3">
      <c r="A36">
        <v>40</v>
      </c>
      <c r="B36" s="5">
        <v>44075</v>
      </c>
      <c r="C36">
        <v>11.6</v>
      </c>
      <c r="D36">
        <v>11.65</v>
      </c>
      <c r="E36">
        <v>12.1</v>
      </c>
      <c r="F36">
        <v>11.35</v>
      </c>
      <c r="G36">
        <v>87094</v>
      </c>
      <c r="J36" s="1" t="s">
        <v>76</v>
      </c>
      <c r="K36" s="1">
        <v>30648251</v>
      </c>
    </row>
    <row r="37" spans="1:12" x14ac:dyDescent="0.3">
      <c r="A37">
        <v>41</v>
      </c>
      <c r="B37" s="5">
        <v>44044</v>
      </c>
      <c r="C37">
        <v>11.5</v>
      </c>
      <c r="D37">
        <v>11</v>
      </c>
      <c r="E37">
        <v>11.65</v>
      </c>
      <c r="F37">
        <v>10.75</v>
      </c>
      <c r="G37">
        <v>167162</v>
      </c>
      <c r="J37" s="1" t="s">
        <v>77</v>
      </c>
      <c r="K37" s="1">
        <v>64</v>
      </c>
    </row>
    <row r="38" spans="1:12" ht="15" thickBot="1" x14ac:dyDescent="0.35">
      <c r="A38">
        <v>42</v>
      </c>
      <c r="B38" s="5">
        <v>44013</v>
      </c>
      <c r="C38">
        <v>11</v>
      </c>
      <c r="D38">
        <v>11.1</v>
      </c>
      <c r="E38">
        <v>11.25</v>
      </c>
      <c r="F38">
        <v>10.8</v>
      </c>
      <c r="G38">
        <v>90600</v>
      </c>
      <c r="J38" s="2" t="s">
        <v>78</v>
      </c>
      <c r="K38" s="2">
        <v>75198.155921520272</v>
      </c>
    </row>
    <row r="39" spans="1:12" x14ac:dyDescent="0.3">
      <c r="A39">
        <v>43</v>
      </c>
      <c r="B39" s="5">
        <v>43983</v>
      </c>
      <c r="C39">
        <v>11</v>
      </c>
      <c r="D39">
        <v>10.9</v>
      </c>
      <c r="E39">
        <v>11.2</v>
      </c>
      <c r="F39">
        <v>10.5</v>
      </c>
      <c r="G39">
        <v>109666</v>
      </c>
    </row>
    <row r="40" spans="1:12" x14ac:dyDescent="0.3">
      <c r="A40">
        <v>44</v>
      </c>
      <c r="B40" s="5">
        <v>43952</v>
      </c>
      <c r="C40">
        <v>10.85</v>
      </c>
      <c r="D40">
        <v>10.050000000000001</v>
      </c>
      <c r="E40">
        <v>10.95</v>
      </c>
      <c r="F40">
        <v>10</v>
      </c>
      <c r="G40">
        <v>365786</v>
      </c>
    </row>
    <row r="41" spans="1:12" x14ac:dyDescent="0.3">
      <c r="A41">
        <v>45</v>
      </c>
      <c r="B41" s="5">
        <v>43922</v>
      </c>
      <c r="C41">
        <v>10.1</v>
      </c>
      <c r="D41">
        <v>9.0250000000000004</v>
      </c>
      <c r="E41">
        <v>10.25</v>
      </c>
      <c r="F41">
        <v>9</v>
      </c>
      <c r="G41">
        <v>175386</v>
      </c>
    </row>
    <row r="42" spans="1:12" x14ac:dyDescent="0.3">
      <c r="A42">
        <v>46</v>
      </c>
      <c r="B42" s="5">
        <v>43891</v>
      </c>
      <c r="C42">
        <v>9.2249999999999996</v>
      </c>
      <c r="D42">
        <v>11.15</v>
      </c>
      <c r="E42">
        <v>11.5</v>
      </c>
      <c r="F42">
        <v>8.625</v>
      </c>
      <c r="G42">
        <v>659422</v>
      </c>
    </row>
    <row r="43" spans="1:12" x14ac:dyDescent="0.3">
      <c r="A43">
        <v>47</v>
      </c>
      <c r="B43" s="5">
        <v>43862</v>
      </c>
      <c r="C43">
        <v>11.15</v>
      </c>
      <c r="D43">
        <v>11.7</v>
      </c>
      <c r="E43">
        <v>12.95</v>
      </c>
      <c r="F43">
        <v>10.8</v>
      </c>
      <c r="G43">
        <v>462354</v>
      </c>
    </row>
    <row r="44" spans="1:12" x14ac:dyDescent="0.3">
      <c r="A44">
        <v>49</v>
      </c>
      <c r="B44" s="5">
        <v>43800</v>
      </c>
      <c r="C44">
        <v>11.1</v>
      </c>
      <c r="D44">
        <v>11.25</v>
      </c>
      <c r="E44">
        <v>11.25</v>
      </c>
      <c r="F44">
        <v>10.8</v>
      </c>
      <c r="G44">
        <v>130852</v>
      </c>
    </row>
    <row r="45" spans="1:12" x14ac:dyDescent="0.3">
      <c r="A45">
        <v>50</v>
      </c>
      <c r="B45" s="5">
        <v>43770</v>
      </c>
      <c r="C45">
        <v>11.25</v>
      </c>
      <c r="D45">
        <v>11</v>
      </c>
      <c r="E45">
        <v>11.55</v>
      </c>
      <c r="F45">
        <v>10.95</v>
      </c>
      <c r="G45">
        <v>260872</v>
      </c>
    </row>
    <row r="46" spans="1:12" x14ac:dyDescent="0.3">
      <c r="A46">
        <v>51</v>
      </c>
      <c r="B46" s="5">
        <v>43739</v>
      </c>
      <c r="C46">
        <v>11</v>
      </c>
      <c r="D46">
        <v>11.5</v>
      </c>
      <c r="E46">
        <v>11.6</v>
      </c>
      <c r="F46">
        <v>10.3</v>
      </c>
      <c r="G46">
        <v>861228</v>
      </c>
    </row>
    <row r="47" spans="1:12" x14ac:dyDescent="0.3">
      <c r="A47">
        <v>52</v>
      </c>
      <c r="B47" s="5">
        <v>43709</v>
      </c>
      <c r="C47">
        <v>11.75</v>
      </c>
      <c r="D47">
        <v>11.7</v>
      </c>
      <c r="E47">
        <v>11.75</v>
      </c>
      <c r="F47">
        <v>11.35</v>
      </c>
      <c r="G47">
        <v>109644</v>
      </c>
    </row>
    <row r="48" spans="1:12" x14ac:dyDescent="0.3">
      <c r="A48">
        <v>53</v>
      </c>
      <c r="B48" s="5">
        <v>43678</v>
      </c>
      <c r="C48">
        <v>11.65</v>
      </c>
      <c r="D48">
        <v>11.65</v>
      </c>
      <c r="E48">
        <v>11.75</v>
      </c>
      <c r="F48">
        <v>11.2</v>
      </c>
      <c r="G48">
        <v>264442</v>
      </c>
    </row>
    <row r="49" spans="1:7" x14ac:dyDescent="0.3">
      <c r="A49">
        <v>54</v>
      </c>
      <c r="B49" s="5">
        <v>43647</v>
      </c>
      <c r="C49">
        <v>11.7</v>
      </c>
      <c r="D49">
        <v>11.9</v>
      </c>
      <c r="E49">
        <v>12.05</v>
      </c>
      <c r="F49">
        <v>11.5</v>
      </c>
      <c r="G49">
        <v>213466</v>
      </c>
    </row>
    <row r="50" spans="1:7" x14ac:dyDescent="0.3">
      <c r="A50">
        <v>55</v>
      </c>
      <c r="B50" s="5">
        <v>43617</v>
      </c>
      <c r="C50">
        <v>11.9</v>
      </c>
      <c r="D50">
        <v>10.7</v>
      </c>
      <c r="E50">
        <v>12.1</v>
      </c>
      <c r="F50">
        <v>10.45</v>
      </c>
      <c r="G50">
        <v>612580</v>
      </c>
    </row>
    <row r="51" spans="1:7" x14ac:dyDescent="0.3">
      <c r="A51">
        <v>56</v>
      </c>
      <c r="B51" s="5">
        <v>43586</v>
      </c>
      <c r="C51">
        <v>10.65</v>
      </c>
      <c r="D51">
        <v>9.5749999999999993</v>
      </c>
      <c r="E51">
        <v>10.75</v>
      </c>
      <c r="F51">
        <v>9.5</v>
      </c>
      <c r="G51">
        <v>973922</v>
      </c>
    </row>
    <row r="52" spans="1:7" x14ac:dyDescent="0.3">
      <c r="A52">
        <v>57</v>
      </c>
      <c r="B52" s="5">
        <v>43556</v>
      </c>
      <c r="C52">
        <v>9.5500000000000007</v>
      </c>
      <c r="D52">
        <v>9.4</v>
      </c>
      <c r="E52">
        <v>9.5500000000000007</v>
      </c>
      <c r="F52">
        <v>9.1</v>
      </c>
      <c r="G52">
        <v>129604</v>
      </c>
    </row>
    <row r="53" spans="1:7" x14ac:dyDescent="0.3">
      <c r="A53">
        <v>58</v>
      </c>
      <c r="B53" s="5">
        <v>43525</v>
      </c>
      <c r="C53">
        <v>9.5</v>
      </c>
      <c r="D53">
        <v>9.5</v>
      </c>
      <c r="E53">
        <v>9.5500000000000007</v>
      </c>
      <c r="F53">
        <v>9.25</v>
      </c>
      <c r="G53">
        <v>47578</v>
      </c>
    </row>
    <row r="54" spans="1:7" x14ac:dyDescent="0.3">
      <c r="A54">
        <v>59</v>
      </c>
      <c r="B54" s="5">
        <v>43497</v>
      </c>
      <c r="C54">
        <v>9.4</v>
      </c>
      <c r="D54">
        <v>8.6750000000000007</v>
      </c>
      <c r="E54">
        <v>9.6</v>
      </c>
      <c r="F54">
        <v>8.4250000000000007</v>
      </c>
      <c r="G54">
        <v>727362</v>
      </c>
    </row>
    <row r="55" spans="1:7" x14ac:dyDescent="0.3">
      <c r="A55">
        <v>60</v>
      </c>
      <c r="B55" s="5">
        <v>43466</v>
      </c>
      <c r="C55">
        <v>8.6750000000000007</v>
      </c>
      <c r="D55">
        <v>8.8000000000000007</v>
      </c>
      <c r="E55">
        <v>8.9499999999999993</v>
      </c>
      <c r="F55">
        <v>8.3000000000000007</v>
      </c>
      <c r="G55">
        <v>128994</v>
      </c>
    </row>
    <row r="56" spans="1:7" x14ac:dyDescent="0.3">
      <c r="A56">
        <v>61</v>
      </c>
      <c r="B56" s="5">
        <v>43435</v>
      </c>
      <c r="C56">
        <v>8.3000000000000007</v>
      </c>
      <c r="D56">
        <v>9</v>
      </c>
      <c r="E56">
        <v>9.15</v>
      </c>
      <c r="F56">
        <v>7.85</v>
      </c>
      <c r="G56">
        <v>210248</v>
      </c>
    </row>
    <row r="57" spans="1:7" x14ac:dyDescent="0.3">
      <c r="A57">
        <v>62</v>
      </c>
      <c r="B57" s="5">
        <v>43405</v>
      </c>
      <c r="C57">
        <v>9.1</v>
      </c>
      <c r="D57">
        <v>9.15</v>
      </c>
      <c r="E57">
        <v>9.2249999999999996</v>
      </c>
      <c r="F57">
        <v>8.9749999999999996</v>
      </c>
      <c r="G57">
        <v>203946</v>
      </c>
    </row>
    <row r="58" spans="1:7" x14ac:dyDescent="0.3">
      <c r="A58">
        <v>63</v>
      </c>
      <c r="B58" s="5">
        <v>43374</v>
      </c>
      <c r="C58">
        <v>9.1999999999999993</v>
      </c>
      <c r="D58">
        <v>9.35</v>
      </c>
      <c r="E58">
        <v>9.4</v>
      </c>
      <c r="F58">
        <v>9</v>
      </c>
      <c r="G58">
        <v>77442</v>
      </c>
    </row>
    <row r="59" spans="1:7" x14ac:dyDescent="0.3">
      <c r="A59">
        <v>64</v>
      </c>
      <c r="B59" s="5">
        <v>43344</v>
      </c>
      <c r="C59">
        <v>9.15</v>
      </c>
      <c r="D59">
        <v>9.4</v>
      </c>
      <c r="E59">
        <v>9.4499999999999993</v>
      </c>
      <c r="F59">
        <v>9.0749999999999993</v>
      </c>
      <c r="G59">
        <v>49000</v>
      </c>
    </row>
    <row r="60" spans="1:7" x14ac:dyDescent="0.3">
      <c r="A60">
        <v>65</v>
      </c>
      <c r="B60" s="5">
        <v>43313</v>
      </c>
      <c r="C60">
        <v>9.4499999999999993</v>
      </c>
      <c r="D60">
        <v>9</v>
      </c>
      <c r="E60">
        <v>9.5</v>
      </c>
      <c r="F60">
        <v>8.85</v>
      </c>
      <c r="G60">
        <v>96212</v>
      </c>
    </row>
    <row r="61" spans="1:7" x14ac:dyDescent="0.3">
      <c r="A61">
        <v>66</v>
      </c>
      <c r="B61" s="5">
        <v>43282</v>
      </c>
      <c r="C61">
        <v>8.9749999999999996</v>
      </c>
      <c r="D61">
        <v>9.2249999999999996</v>
      </c>
      <c r="E61">
        <v>9.2249999999999996</v>
      </c>
      <c r="F61">
        <v>8.75</v>
      </c>
      <c r="G61">
        <v>507906</v>
      </c>
    </row>
    <row r="62" spans="1:7" x14ac:dyDescent="0.3">
      <c r="A62">
        <v>67</v>
      </c>
      <c r="B62" s="5">
        <v>43252</v>
      </c>
      <c r="C62">
        <v>9.0250000000000004</v>
      </c>
      <c r="D62">
        <v>8.9499999999999993</v>
      </c>
      <c r="E62">
        <v>9.4250000000000007</v>
      </c>
      <c r="F62">
        <v>8.5</v>
      </c>
      <c r="G62">
        <v>147292</v>
      </c>
    </row>
    <row r="63" spans="1:7" x14ac:dyDescent="0.3">
      <c r="A63">
        <v>68</v>
      </c>
      <c r="B63" s="5">
        <v>43221</v>
      </c>
      <c r="C63">
        <v>9.1</v>
      </c>
      <c r="D63">
        <v>9.5</v>
      </c>
      <c r="E63">
        <v>9.6</v>
      </c>
      <c r="F63">
        <v>8.7750000000000004</v>
      </c>
      <c r="G63">
        <v>354166</v>
      </c>
    </row>
    <row r="64" spans="1:7" x14ac:dyDescent="0.3">
      <c r="A64">
        <v>69</v>
      </c>
      <c r="B64" s="5">
        <v>43191</v>
      </c>
      <c r="C64">
        <v>9.65</v>
      </c>
      <c r="D64">
        <v>9.4749999999999996</v>
      </c>
      <c r="E64">
        <v>9.7249999999999996</v>
      </c>
      <c r="F64">
        <v>9.2750000000000004</v>
      </c>
      <c r="G64">
        <v>90406</v>
      </c>
    </row>
    <row r="65" spans="1:7" x14ac:dyDescent="0.3">
      <c r="A65">
        <v>70</v>
      </c>
      <c r="B65" s="5">
        <v>43160</v>
      </c>
      <c r="C65">
        <v>9.2750000000000004</v>
      </c>
      <c r="D65">
        <v>9.6</v>
      </c>
      <c r="E65">
        <v>9.9499999999999993</v>
      </c>
      <c r="F65">
        <v>9.2750000000000004</v>
      </c>
      <c r="G65">
        <v>425150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E28" sqref="E28"/>
    </sheetView>
  </sheetViews>
  <sheetFormatPr defaultRowHeight="14.4" x14ac:dyDescent="0.3"/>
  <cols>
    <col min="1" max="1" width="9.33203125" bestFit="1" customWidth="1"/>
    <col min="2" max="2" width="12.6640625" bestFit="1" customWidth="1"/>
    <col min="3" max="3" width="12.6640625" customWidth="1"/>
    <col min="4" max="4" width="13.6640625" bestFit="1" customWidth="1"/>
  </cols>
  <sheetData>
    <row r="1" spans="1:4" x14ac:dyDescent="0.3">
      <c r="A1" t="s">
        <v>4</v>
      </c>
      <c r="B1" t="s">
        <v>45</v>
      </c>
      <c r="C1" t="s">
        <v>52</v>
      </c>
      <c r="D1" t="s">
        <v>46</v>
      </c>
    </row>
    <row r="2" spans="1:4" x14ac:dyDescent="0.3">
      <c r="A2">
        <v>5</v>
      </c>
      <c r="B2" t="s">
        <v>51</v>
      </c>
      <c r="C2" t="str">
        <f>PROPER(Table_ProiectSSD.accdb6[[#This Row],[Nume_tara]])</f>
        <v>Belarus</v>
      </c>
      <c r="D2">
        <v>2.5</v>
      </c>
    </row>
    <row r="3" spans="1:4" x14ac:dyDescent="0.3">
      <c r="A3">
        <v>2</v>
      </c>
      <c r="B3" t="s">
        <v>48</v>
      </c>
      <c r="C3" t="str">
        <f>PROPER(Table_ProiectSSD.accdb6[[#This Row],[Nume_tara]])</f>
        <v>Moldova</v>
      </c>
      <c r="D3">
        <v>30.7</v>
      </c>
    </row>
    <row r="4" spans="1:4" x14ac:dyDescent="0.3">
      <c r="A4">
        <v>3</v>
      </c>
      <c r="B4" t="s">
        <v>49</v>
      </c>
      <c r="C4" t="str">
        <f>PROPER(Table_ProiectSSD.accdb6[[#This Row],[Nume_tara]])</f>
        <v>Polonia</v>
      </c>
      <c r="D4">
        <v>2.7</v>
      </c>
    </row>
    <row r="5" spans="1:4" x14ac:dyDescent="0.3">
      <c r="A5">
        <v>1</v>
      </c>
      <c r="B5" t="s">
        <v>47</v>
      </c>
      <c r="C5" t="str">
        <f>PROPER(Table_ProiectSSD.accdb6[[#This Row],[Nume_tara]])</f>
        <v>Romania</v>
      </c>
      <c r="D5">
        <v>23.5</v>
      </c>
    </row>
    <row r="6" spans="1:4" x14ac:dyDescent="0.3">
      <c r="A6">
        <v>4</v>
      </c>
      <c r="B6" t="s">
        <v>50</v>
      </c>
      <c r="C6" t="str">
        <f>PROPER(Table_ProiectSSD.accdb6[[#This Row],[Nume_tara]])</f>
        <v>Ucraina</v>
      </c>
      <c r="D6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zoomScaleNormal="100" workbookViewId="0">
      <pane xSplit="5" ySplit="1" topLeftCell="F8" activePane="bottomRight" state="frozen"/>
      <selection pane="topRight" activeCell="F1" sqref="F1"/>
      <selection pane="bottomLeft" activeCell="A2" sqref="A2"/>
      <selection pane="bottomRight" activeCell="J22" sqref="J22"/>
    </sheetView>
  </sheetViews>
  <sheetFormatPr defaultRowHeight="14.4" x14ac:dyDescent="0.3"/>
  <cols>
    <col min="1" max="1" width="12.5546875" bestFit="1" customWidth="1"/>
    <col min="2" max="2" width="5.5546875" bestFit="1" customWidth="1"/>
    <col min="3" max="3" width="11" bestFit="1" customWidth="1"/>
    <col min="4" max="4" width="17.33203125" bestFit="1" customWidth="1"/>
    <col min="5" max="5" width="9.33203125" bestFit="1" customWidth="1"/>
    <col min="7" max="7" width="21.33203125" bestFit="1" customWidth="1"/>
    <col min="8" max="8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</v>
      </c>
      <c r="B2">
        <v>2023</v>
      </c>
      <c r="C2">
        <v>1</v>
      </c>
      <c r="D2">
        <v>30563347</v>
      </c>
      <c r="E2">
        <v>2</v>
      </c>
    </row>
    <row r="3" spans="1:5" x14ac:dyDescent="0.3">
      <c r="A3">
        <v>3</v>
      </c>
      <c r="B3">
        <v>2023</v>
      </c>
      <c r="C3">
        <v>1</v>
      </c>
      <c r="D3">
        <v>911548</v>
      </c>
      <c r="E3">
        <v>3</v>
      </c>
    </row>
    <row r="4" spans="1:5" x14ac:dyDescent="0.3">
      <c r="A4">
        <v>4</v>
      </c>
      <c r="B4">
        <v>2023</v>
      </c>
      <c r="C4">
        <v>1</v>
      </c>
      <c r="D4">
        <v>4082154</v>
      </c>
      <c r="E4">
        <v>4</v>
      </c>
    </row>
    <row r="5" spans="1:5" x14ac:dyDescent="0.3">
      <c r="A5">
        <v>6</v>
      </c>
      <c r="B5">
        <v>2023</v>
      </c>
      <c r="C5">
        <v>2</v>
      </c>
      <c r="D5">
        <v>30982</v>
      </c>
      <c r="E5">
        <v>3</v>
      </c>
    </row>
    <row r="6" spans="1:5" x14ac:dyDescent="0.3">
      <c r="A6">
        <v>7</v>
      </c>
      <c r="B6">
        <v>2023</v>
      </c>
      <c r="C6">
        <v>2</v>
      </c>
      <c r="D6">
        <v>152305</v>
      </c>
      <c r="E6">
        <v>4</v>
      </c>
    </row>
    <row r="7" spans="1:5" x14ac:dyDescent="0.3">
      <c r="A7">
        <v>8</v>
      </c>
      <c r="B7">
        <v>2023</v>
      </c>
      <c r="C7">
        <v>3</v>
      </c>
      <c r="D7">
        <v>2847196</v>
      </c>
      <c r="E7">
        <v>1</v>
      </c>
    </row>
    <row r="8" spans="1:5" x14ac:dyDescent="0.3">
      <c r="A8">
        <v>9</v>
      </c>
      <c r="B8">
        <v>2023</v>
      </c>
      <c r="C8">
        <v>3</v>
      </c>
      <c r="D8">
        <v>6894936</v>
      </c>
      <c r="E8">
        <v>2</v>
      </c>
    </row>
    <row r="9" spans="1:5" x14ac:dyDescent="0.3">
      <c r="A9">
        <v>10</v>
      </c>
      <c r="B9">
        <v>2023</v>
      </c>
      <c r="C9">
        <v>3</v>
      </c>
      <c r="D9">
        <v>18790132</v>
      </c>
      <c r="E9">
        <v>3</v>
      </c>
    </row>
    <row r="10" spans="1:5" x14ac:dyDescent="0.3">
      <c r="A10">
        <v>11</v>
      </c>
      <c r="B10">
        <v>2023</v>
      </c>
      <c r="C10">
        <v>3</v>
      </c>
      <c r="D10">
        <v>2350822</v>
      </c>
      <c r="E10">
        <v>4</v>
      </c>
    </row>
    <row r="11" spans="1:5" x14ac:dyDescent="0.3">
      <c r="A11">
        <v>12</v>
      </c>
      <c r="B11">
        <v>2023</v>
      </c>
      <c r="C11">
        <v>4</v>
      </c>
      <c r="D11">
        <v>5214043</v>
      </c>
      <c r="E11">
        <v>1</v>
      </c>
    </row>
    <row r="12" spans="1:5" x14ac:dyDescent="0.3">
      <c r="A12">
        <v>13</v>
      </c>
      <c r="B12">
        <v>2023</v>
      </c>
      <c r="C12">
        <v>4</v>
      </c>
      <c r="D12">
        <v>21042662</v>
      </c>
      <c r="E12">
        <v>2</v>
      </c>
    </row>
    <row r="13" spans="1:5" x14ac:dyDescent="0.3">
      <c r="A13">
        <v>14</v>
      </c>
      <c r="B13">
        <v>2023</v>
      </c>
      <c r="C13">
        <v>4</v>
      </c>
      <c r="D13">
        <v>503588</v>
      </c>
      <c r="E13">
        <v>4</v>
      </c>
    </row>
    <row r="14" spans="1:5" x14ac:dyDescent="0.3">
      <c r="A14">
        <v>16</v>
      </c>
      <c r="B14">
        <v>2022</v>
      </c>
      <c r="C14">
        <v>1</v>
      </c>
      <c r="D14">
        <v>26499543</v>
      </c>
      <c r="E14">
        <v>2</v>
      </c>
    </row>
    <row r="15" spans="1:5" x14ac:dyDescent="0.3">
      <c r="A15">
        <v>17</v>
      </c>
      <c r="B15">
        <v>2022</v>
      </c>
      <c r="C15">
        <v>1</v>
      </c>
      <c r="D15">
        <v>668973</v>
      </c>
      <c r="E15">
        <v>3</v>
      </c>
    </row>
    <row r="16" spans="1:5" x14ac:dyDescent="0.3">
      <c r="A16">
        <v>18</v>
      </c>
      <c r="B16">
        <v>2022</v>
      </c>
      <c r="C16">
        <v>1</v>
      </c>
      <c r="D16">
        <v>3367818</v>
      </c>
      <c r="E16">
        <v>4</v>
      </c>
    </row>
    <row r="17" spans="1:9" x14ac:dyDescent="0.3">
      <c r="A17">
        <v>19</v>
      </c>
      <c r="B17">
        <v>2022</v>
      </c>
      <c r="C17">
        <v>2</v>
      </c>
      <c r="D17">
        <v>36020787</v>
      </c>
      <c r="E17">
        <v>1</v>
      </c>
    </row>
    <row r="18" spans="1:9" x14ac:dyDescent="0.3">
      <c r="A18">
        <v>20</v>
      </c>
      <c r="B18">
        <v>2022</v>
      </c>
      <c r="C18">
        <v>2</v>
      </c>
      <c r="D18">
        <v>22254</v>
      </c>
      <c r="E18">
        <v>3</v>
      </c>
    </row>
    <row r="19" spans="1:9" x14ac:dyDescent="0.3">
      <c r="A19">
        <v>21</v>
      </c>
      <c r="B19">
        <v>2022</v>
      </c>
      <c r="C19">
        <v>2</v>
      </c>
      <c r="D19">
        <v>27493</v>
      </c>
      <c r="E19">
        <v>4</v>
      </c>
    </row>
    <row r="20" spans="1:9" x14ac:dyDescent="0.3">
      <c r="A20">
        <v>22</v>
      </c>
      <c r="B20">
        <v>2022</v>
      </c>
      <c r="C20">
        <v>3</v>
      </c>
      <c r="D20">
        <v>2184051</v>
      </c>
      <c r="E20">
        <v>1</v>
      </c>
    </row>
    <row r="21" spans="1:9" x14ac:dyDescent="0.3">
      <c r="A21">
        <v>23</v>
      </c>
      <c r="B21">
        <v>2022</v>
      </c>
      <c r="C21">
        <v>3</v>
      </c>
      <c r="D21">
        <v>7309116</v>
      </c>
      <c r="E21">
        <v>2</v>
      </c>
    </row>
    <row r="22" spans="1:9" x14ac:dyDescent="0.3">
      <c r="A22">
        <v>24</v>
      </c>
      <c r="B22">
        <v>2022</v>
      </c>
      <c r="C22">
        <v>3</v>
      </c>
      <c r="D22">
        <v>18634539</v>
      </c>
      <c r="E22">
        <v>3</v>
      </c>
      <c r="G22" s="3" t="s">
        <v>3</v>
      </c>
      <c r="H22" s="3"/>
      <c r="I22" s="4"/>
    </row>
    <row r="23" spans="1:9" x14ac:dyDescent="0.3">
      <c r="A23">
        <v>25</v>
      </c>
      <c r="B23">
        <v>2022</v>
      </c>
      <c r="C23">
        <v>3</v>
      </c>
      <c r="D23">
        <v>1754304</v>
      </c>
      <c r="E23">
        <v>4</v>
      </c>
      <c r="G23" s="1"/>
      <c r="H23" s="1"/>
      <c r="I23" s="4"/>
    </row>
    <row r="24" spans="1:9" x14ac:dyDescent="0.3">
      <c r="A24">
        <v>26</v>
      </c>
      <c r="B24">
        <v>2022</v>
      </c>
      <c r="C24">
        <v>4</v>
      </c>
      <c r="D24">
        <v>4709490</v>
      </c>
      <c r="E24">
        <v>1</v>
      </c>
      <c r="G24" s="1" t="s">
        <v>65</v>
      </c>
      <c r="H24" s="1">
        <v>7839870.4482758623</v>
      </c>
      <c r="I24" s="4"/>
    </row>
    <row r="25" spans="1:9" x14ac:dyDescent="0.3">
      <c r="A25">
        <v>27</v>
      </c>
      <c r="B25">
        <v>2022</v>
      </c>
      <c r="C25">
        <v>4</v>
      </c>
      <c r="D25">
        <v>23193569</v>
      </c>
      <c r="E25">
        <v>2</v>
      </c>
      <c r="G25" s="1" t="s">
        <v>66</v>
      </c>
      <c r="H25" s="1">
        <v>1076999.810900439</v>
      </c>
      <c r="I25" s="4"/>
    </row>
    <row r="26" spans="1:9" x14ac:dyDescent="0.3">
      <c r="A26">
        <v>28</v>
      </c>
      <c r="B26">
        <v>2022</v>
      </c>
      <c r="C26">
        <v>4</v>
      </c>
      <c r="D26">
        <v>465449</v>
      </c>
      <c r="E26">
        <v>3</v>
      </c>
      <c r="G26" s="1" t="s">
        <v>67</v>
      </c>
      <c r="H26" s="1">
        <v>3183853</v>
      </c>
      <c r="I26" s="4"/>
    </row>
    <row r="27" spans="1:9" x14ac:dyDescent="0.3">
      <c r="A27">
        <v>30</v>
      </c>
      <c r="B27">
        <v>2021</v>
      </c>
      <c r="C27">
        <v>1</v>
      </c>
      <c r="D27">
        <v>20573339</v>
      </c>
      <c r="E27">
        <v>2</v>
      </c>
      <c r="G27" s="1" t="s">
        <v>68</v>
      </c>
      <c r="H27" s="1" t="e">
        <v>#N/A</v>
      </c>
      <c r="I27" s="4"/>
    </row>
    <row r="28" spans="1:9" x14ac:dyDescent="0.3">
      <c r="A28">
        <v>31</v>
      </c>
      <c r="B28">
        <v>2021</v>
      </c>
      <c r="C28">
        <v>1</v>
      </c>
      <c r="D28">
        <v>544137</v>
      </c>
      <c r="E28">
        <v>3</v>
      </c>
      <c r="G28" s="1" t="s">
        <v>69</v>
      </c>
      <c r="H28" s="1">
        <v>10045585.476373371</v>
      </c>
      <c r="I28" s="4"/>
    </row>
    <row r="29" spans="1:9" x14ac:dyDescent="0.3">
      <c r="A29">
        <v>32</v>
      </c>
      <c r="B29">
        <v>2021</v>
      </c>
      <c r="C29">
        <v>1</v>
      </c>
      <c r="D29">
        <v>4716572</v>
      </c>
      <c r="E29">
        <v>4</v>
      </c>
      <c r="G29" s="1" t="s">
        <v>70</v>
      </c>
      <c r="H29" s="1">
        <v>100913787563123.61</v>
      </c>
      <c r="I29" s="4"/>
    </row>
    <row r="30" spans="1:9" x14ac:dyDescent="0.3">
      <c r="A30">
        <v>33</v>
      </c>
      <c r="B30">
        <v>2021</v>
      </c>
      <c r="C30">
        <v>2</v>
      </c>
      <c r="D30">
        <v>33069333</v>
      </c>
      <c r="E30">
        <v>1</v>
      </c>
      <c r="G30" s="1" t="s">
        <v>71</v>
      </c>
      <c r="H30" s="1">
        <v>0.67619023280720736</v>
      </c>
      <c r="I30" s="4"/>
    </row>
    <row r="31" spans="1:9" x14ac:dyDescent="0.3">
      <c r="A31">
        <v>34</v>
      </c>
      <c r="B31">
        <v>2021</v>
      </c>
      <c r="C31">
        <v>2</v>
      </c>
      <c r="D31">
        <v>49813</v>
      </c>
      <c r="E31">
        <v>3</v>
      </c>
      <c r="G31" s="1" t="s">
        <v>72</v>
      </c>
      <c r="H31" s="1">
        <v>1.3530899014632087</v>
      </c>
      <c r="I31" s="4"/>
    </row>
    <row r="32" spans="1:9" x14ac:dyDescent="0.3">
      <c r="A32">
        <v>35</v>
      </c>
      <c r="B32">
        <v>2021</v>
      </c>
      <c r="C32">
        <v>3</v>
      </c>
      <c r="D32">
        <v>2788545</v>
      </c>
      <c r="E32">
        <v>1</v>
      </c>
      <c r="G32" s="1" t="s">
        <v>73</v>
      </c>
      <c r="H32" s="1">
        <v>36651318</v>
      </c>
      <c r="I32" s="4"/>
    </row>
    <row r="33" spans="1:9" x14ac:dyDescent="0.3">
      <c r="A33">
        <v>36</v>
      </c>
      <c r="B33">
        <v>2021</v>
      </c>
      <c r="C33">
        <v>3</v>
      </c>
      <c r="D33">
        <v>5595128</v>
      </c>
      <c r="E33">
        <v>2</v>
      </c>
      <c r="G33" s="1" t="s">
        <v>74</v>
      </c>
      <c r="H33" s="1">
        <v>15480</v>
      </c>
      <c r="I33" s="4"/>
    </row>
    <row r="34" spans="1:9" x14ac:dyDescent="0.3">
      <c r="A34">
        <v>37</v>
      </c>
      <c r="B34">
        <v>2021</v>
      </c>
      <c r="C34">
        <v>3</v>
      </c>
      <c r="D34">
        <v>19590345</v>
      </c>
      <c r="E34">
        <v>3</v>
      </c>
      <c r="G34" s="1" t="s">
        <v>75</v>
      </c>
      <c r="H34" s="1">
        <v>36666798</v>
      </c>
      <c r="I34" s="4"/>
    </row>
    <row r="35" spans="1:9" x14ac:dyDescent="0.3">
      <c r="A35">
        <v>38</v>
      </c>
      <c r="B35">
        <v>2021</v>
      </c>
      <c r="C35">
        <v>3</v>
      </c>
      <c r="D35">
        <v>4079840</v>
      </c>
      <c r="E35">
        <v>4</v>
      </c>
      <c r="G35" s="1" t="s">
        <v>76</v>
      </c>
      <c r="H35" s="1">
        <v>682068729</v>
      </c>
      <c r="I35" s="4"/>
    </row>
    <row r="36" spans="1:9" x14ac:dyDescent="0.3">
      <c r="A36">
        <v>39</v>
      </c>
      <c r="B36">
        <v>2021</v>
      </c>
      <c r="C36">
        <v>4</v>
      </c>
      <c r="D36">
        <v>2840847</v>
      </c>
      <c r="E36">
        <v>1</v>
      </c>
      <c r="G36" s="1" t="s">
        <v>77</v>
      </c>
      <c r="H36" s="1">
        <v>87</v>
      </c>
      <c r="I36" s="4"/>
    </row>
    <row r="37" spans="1:9" ht="15" thickBot="1" x14ac:dyDescent="0.35">
      <c r="A37">
        <v>40</v>
      </c>
      <c r="B37">
        <v>2021</v>
      </c>
      <c r="C37">
        <v>4</v>
      </c>
      <c r="D37">
        <v>18592883</v>
      </c>
      <c r="E37">
        <v>2</v>
      </c>
      <c r="G37" s="2" t="s">
        <v>78</v>
      </c>
      <c r="H37" s="2">
        <v>2141004.7642019368</v>
      </c>
      <c r="I37" s="4"/>
    </row>
    <row r="38" spans="1:9" x14ac:dyDescent="0.3">
      <c r="A38">
        <v>41</v>
      </c>
      <c r="B38">
        <v>2021</v>
      </c>
      <c r="C38">
        <v>4</v>
      </c>
      <c r="D38">
        <v>37958</v>
      </c>
      <c r="E38">
        <v>3</v>
      </c>
      <c r="G38" s="4"/>
      <c r="H38" s="4"/>
      <c r="I38" s="4"/>
    </row>
    <row r="39" spans="1:9" x14ac:dyDescent="0.3">
      <c r="A39">
        <v>43</v>
      </c>
      <c r="B39">
        <v>2020</v>
      </c>
      <c r="C39">
        <v>1</v>
      </c>
      <c r="D39">
        <v>11676573</v>
      </c>
      <c r="E39">
        <v>2</v>
      </c>
    </row>
    <row r="40" spans="1:9" x14ac:dyDescent="0.3">
      <c r="A40">
        <v>44</v>
      </c>
      <c r="B40">
        <v>2020</v>
      </c>
      <c r="C40">
        <v>1</v>
      </c>
      <c r="D40">
        <v>514603</v>
      </c>
      <c r="E40">
        <v>3</v>
      </c>
    </row>
    <row r="41" spans="1:9" x14ac:dyDescent="0.3">
      <c r="A41">
        <v>45</v>
      </c>
      <c r="B41">
        <v>2020</v>
      </c>
      <c r="C41">
        <v>1</v>
      </c>
      <c r="D41">
        <v>4019255</v>
      </c>
      <c r="E41">
        <v>4</v>
      </c>
    </row>
    <row r="42" spans="1:9" x14ac:dyDescent="0.3">
      <c r="A42">
        <v>46</v>
      </c>
      <c r="B42">
        <v>2020</v>
      </c>
      <c r="C42">
        <v>2</v>
      </c>
      <c r="D42">
        <v>31291010</v>
      </c>
      <c r="E42">
        <v>1</v>
      </c>
    </row>
    <row r="43" spans="1:9" x14ac:dyDescent="0.3">
      <c r="A43">
        <v>47</v>
      </c>
      <c r="B43">
        <v>2020</v>
      </c>
      <c r="C43">
        <v>2</v>
      </c>
      <c r="D43">
        <v>44009</v>
      </c>
      <c r="E43">
        <v>3</v>
      </c>
    </row>
    <row r="44" spans="1:9" x14ac:dyDescent="0.3">
      <c r="A44">
        <v>48</v>
      </c>
      <c r="B44">
        <v>2020</v>
      </c>
      <c r="C44">
        <v>3</v>
      </c>
      <c r="D44">
        <v>2352502</v>
      </c>
      <c r="E44">
        <v>1</v>
      </c>
    </row>
    <row r="45" spans="1:9" x14ac:dyDescent="0.3">
      <c r="A45">
        <v>49</v>
      </c>
      <c r="B45">
        <v>2020</v>
      </c>
      <c r="C45">
        <v>3</v>
      </c>
      <c r="D45">
        <v>4094597</v>
      </c>
      <c r="E45">
        <v>2</v>
      </c>
    </row>
    <row r="46" spans="1:9" x14ac:dyDescent="0.3">
      <c r="A46">
        <v>50</v>
      </c>
      <c r="B46">
        <v>2020</v>
      </c>
      <c r="C46">
        <v>3</v>
      </c>
      <c r="D46">
        <v>23139792</v>
      </c>
      <c r="E46">
        <v>3</v>
      </c>
    </row>
    <row r="47" spans="1:9" x14ac:dyDescent="0.3">
      <c r="A47">
        <v>51</v>
      </c>
      <c r="B47">
        <v>2020</v>
      </c>
      <c r="C47">
        <v>3</v>
      </c>
      <c r="D47">
        <v>3307918</v>
      </c>
      <c r="E47">
        <v>4</v>
      </c>
    </row>
    <row r="48" spans="1:9" x14ac:dyDescent="0.3">
      <c r="A48">
        <v>52</v>
      </c>
      <c r="B48">
        <v>2020</v>
      </c>
      <c r="C48">
        <v>4</v>
      </c>
      <c r="D48">
        <v>1876579</v>
      </c>
      <c r="E48">
        <v>1</v>
      </c>
    </row>
    <row r="49" spans="1:5" x14ac:dyDescent="0.3">
      <c r="A49">
        <v>53</v>
      </c>
      <c r="B49">
        <v>2020</v>
      </c>
      <c r="C49">
        <v>4</v>
      </c>
      <c r="D49">
        <v>12052842</v>
      </c>
      <c r="E49">
        <v>2</v>
      </c>
    </row>
    <row r="50" spans="1:5" x14ac:dyDescent="0.3">
      <c r="A50">
        <v>54</v>
      </c>
      <c r="B50">
        <v>2020</v>
      </c>
      <c r="C50">
        <v>4</v>
      </c>
      <c r="D50">
        <v>38651</v>
      </c>
      <c r="E50">
        <v>3</v>
      </c>
    </row>
    <row r="51" spans="1:5" x14ac:dyDescent="0.3">
      <c r="A51">
        <v>56</v>
      </c>
      <c r="B51">
        <v>2019</v>
      </c>
      <c r="C51">
        <v>1</v>
      </c>
      <c r="D51">
        <v>20093027</v>
      </c>
      <c r="E51">
        <v>2</v>
      </c>
    </row>
    <row r="52" spans="1:5" x14ac:dyDescent="0.3">
      <c r="A52">
        <v>57</v>
      </c>
      <c r="B52">
        <v>2019</v>
      </c>
      <c r="C52">
        <v>1</v>
      </c>
      <c r="D52">
        <v>290362</v>
      </c>
      <c r="E52">
        <v>3</v>
      </c>
    </row>
    <row r="53" spans="1:5" x14ac:dyDescent="0.3">
      <c r="A53">
        <v>58</v>
      </c>
      <c r="B53">
        <v>2019</v>
      </c>
      <c r="C53">
        <v>1</v>
      </c>
      <c r="D53">
        <v>3404340</v>
      </c>
      <c r="E53">
        <v>4</v>
      </c>
    </row>
    <row r="54" spans="1:5" x14ac:dyDescent="0.3">
      <c r="A54">
        <v>59</v>
      </c>
      <c r="B54">
        <v>2019</v>
      </c>
      <c r="C54">
        <v>2</v>
      </c>
      <c r="D54">
        <v>27714264</v>
      </c>
      <c r="E54">
        <v>1</v>
      </c>
    </row>
    <row r="55" spans="1:5" x14ac:dyDescent="0.3">
      <c r="A55">
        <v>60</v>
      </c>
      <c r="B55">
        <v>2019</v>
      </c>
      <c r="C55">
        <v>2</v>
      </c>
      <c r="D55">
        <v>17429</v>
      </c>
      <c r="E55">
        <v>3</v>
      </c>
    </row>
    <row r="56" spans="1:5" x14ac:dyDescent="0.3">
      <c r="A56">
        <v>61</v>
      </c>
      <c r="B56">
        <v>2019</v>
      </c>
      <c r="C56">
        <v>3</v>
      </c>
      <c r="D56">
        <v>2753210</v>
      </c>
      <c r="E56">
        <v>1</v>
      </c>
    </row>
    <row r="57" spans="1:5" x14ac:dyDescent="0.3">
      <c r="A57">
        <v>62</v>
      </c>
      <c r="B57">
        <v>2019</v>
      </c>
      <c r="C57">
        <v>3</v>
      </c>
      <c r="D57">
        <v>5646233</v>
      </c>
      <c r="E57">
        <v>2</v>
      </c>
    </row>
    <row r="58" spans="1:5" x14ac:dyDescent="0.3">
      <c r="A58">
        <v>63</v>
      </c>
      <c r="B58">
        <v>2019</v>
      </c>
      <c r="C58">
        <v>3</v>
      </c>
      <c r="D58">
        <v>20439927</v>
      </c>
      <c r="E58">
        <v>3</v>
      </c>
    </row>
    <row r="59" spans="1:5" x14ac:dyDescent="0.3">
      <c r="A59">
        <v>64</v>
      </c>
      <c r="B59">
        <v>2019</v>
      </c>
      <c r="C59">
        <v>3</v>
      </c>
      <c r="D59">
        <v>3183853</v>
      </c>
      <c r="E59">
        <v>4</v>
      </c>
    </row>
    <row r="60" spans="1:5" x14ac:dyDescent="0.3">
      <c r="A60">
        <v>65</v>
      </c>
      <c r="B60">
        <v>2019</v>
      </c>
      <c r="C60">
        <v>4</v>
      </c>
      <c r="D60">
        <v>1196400</v>
      </c>
      <c r="E60">
        <v>1</v>
      </c>
    </row>
    <row r="61" spans="1:5" x14ac:dyDescent="0.3">
      <c r="A61">
        <v>66</v>
      </c>
      <c r="B61">
        <v>2019</v>
      </c>
      <c r="C61">
        <v>4</v>
      </c>
      <c r="D61">
        <v>19074489</v>
      </c>
      <c r="E61">
        <v>2</v>
      </c>
    </row>
    <row r="62" spans="1:5" x14ac:dyDescent="0.3">
      <c r="A62">
        <v>67</v>
      </c>
      <c r="B62">
        <v>2019</v>
      </c>
      <c r="C62">
        <v>4</v>
      </c>
      <c r="D62">
        <v>32751</v>
      </c>
      <c r="E62">
        <v>3</v>
      </c>
    </row>
    <row r="63" spans="1:5" x14ac:dyDescent="0.3">
      <c r="A63">
        <v>68</v>
      </c>
      <c r="B63">
        <v>2018</v>
      </c>
      <c r="C63">
        <v>1</v>
      </c>
      <c r="D63">
        <v>36666798</v>
      </c>
      <c r="E63">
        <v>1</v>
      </c>
    </row>
    <row r="64" spans="1:5" x14ac:dyDescent="0.3">
      <c r="A64">
        <v>69</v>
      </c>
      <c r="B64">
        <v>2018</v>
      </c>
      <c r="C64">
        <v>1</v>
      </c>
      <c r="D64">
        <v>17431428</v>
      </c>
      <c r="E64">
        <v>2</v>
      </c>
    </row>
    <row r="65" spans="1:5" x14ac:dyDescent="0.3">
      <c r="A65">
        <v>70</v>
      </c>
      <c r="B65">
        <v>2018</v>
      </c>
      <c r="C65">
        <v>1</v>
      </c>
      <c r="D65">
        <v>193636</v>
      </c>
      <c r="E65">
        <v>3</v>
      </c>
    </row>
    <row r="66" spans="1:5" x14ac:dyDescent="0.3">
      <c r="A66">
        <v>71</v>
      </c>
      <c r="B66">
        <v>2018</v>
      </c>
      <c r="C66">
        <v>1</v>
      </c>
      <c r="D66">
        <v>2451596</v>
      </c>
      <c r="E66">
        <v>4</v>
      </c>
    </row>
    <row r="67" spans="1:5" x14ac:dyDescent="0.3">
      <c r="A67">
        <v>72</v>
      </c>
      <c r="B67">
        <v>2018</v>
      </c>
      <c r="C67">
        <v>2</v>
      </c>
      <c r="D67">
        <v>25315617</v>
      </c>
      <c r="E67">
        <v>1</v>
      </c>
    </row>
    <row r="68" spans="1:5" x14ac:dyDescent="0.3">
      <c r="A68">
        <v>73</v>
      </c>
      <c r="B68">
        <v>2018</v>
      </c>
      <c r="C68">
        <v>2</v>
      </c>
      <c r="D68">
        <v>40969</v>
      </c>
      <c r="E68">
        <v>3</v>
      </c>
    </row>
    <row r="69" spans="1:5" x14ac:dyDescent="0.3">
      <c r="A69">
        <v>74</v>
      </c>
      <c r="B69">
        <v>2018</v>
      </c>
      <c r="C69">
        <v>3</v>
      </c>
      <c r="D69">
        <v>2859573</v>
      </c>
      <c r="E69">
        <v>1</v>
      </c>
    </row>
    <row r="70" spans="1:5" x14ac:dyDescent="0.3">
      <c r="A70">
        <v>75</v>
      </c>
      <c r="B70">
        <v>2018</v>
      </c>
      <c r="C70">
        <v>3</v>
      </c>
      <c r="D70">
        <v>5519156</v>
      </c>
      <c r="E70">
        <v>2</v>
      </c>
    </row>
    <row r="71" spans="1:5" x14ac:dyDescent="0.3">
      <c r="A71">
        <v>76</v>
      </c>
      <c r="B71">
        <v>2018</v>
      </c>
      <c r="C71">
        <v>3</v>
      </c>
      <c r="D71">
        <v>17362664</v>
      </c>
      <c r="E71">
        <v>3</v>
      </c>
    </row>
    <row r="72" spans="1:5" x14ac:dyDescent="0.3">
      <c r="A72">
        <v>77</v>
      </c>
      <c r="B72">
        <v>2018</v>
      </c>
      <c r="C72">
        <v>3</v>
      </c>
      <c r="D72">
        <v>2704413</v>
      </c>
      <c r="E72">
        <v>4</v>
      </c>
    </row>
    <row r="73" spans="1:5" x14ac:dyDescent="0.3">
      <c r="A73">
        <v>78</v>
      </c>
      <c r="B73">
        <v>2018</v>
      </c>
      <c r="C73">
        <v>4</v>
      </c>
      <c r="D73">
        <v>274678</v>
      </c>
      <c r="E73">
        <v>1</v>
      </c>
    </row>
    <row r="74" spans="1:5" x14ac:dyDescent="0.3">
      <c r="A74">
        <v>79</v>
      </c>
      <c r="B74">
        <v>2018</v>
      </c>
      <c r="C74">
        <v>4</v>
      </c>
      <c r="D74">
        <v>14765963</v>
      </c>
      <c r="E74">
        <v>2</v>
      </c>
    </row>
    <row r="75" spans="1:5" x14ac:dyDescent="0.3">
      <c r="A75">
        <v>80</v>
      </c>
      <c r="B75">
        <v>2018</v>
      </c>
      <c r="C75">
        <v>4</v>
      </c>
      <c r="D75">
        <v>15480</v>
      </c>
      <c r="E75">
        <v>3</v>
      </c>
    </row>
    <row r="76" spans="1:5" x14ac:dyDescent="0.3">
      <c r="A76">
        <v>81</v>
      </c>
      <c r="B76">
        <v>2022</v>
      </c>
      <c r="C76">
        <v>4</v>
      </c>
      <c r="D76">
        <v>1440145</v>
      </c>
      <c r="E76">
        <v>5</v>
      </c>
    </row>
    <row r="77" spans="1:5" x14ac:dyDescent="0.3">
      <c r="A77">
        <v>82</v>
      </c>
      <c r="B77">
        <v>2021</v>
      </c>
      <c r="C77">
        <v>1</v>
      </c>
      <c r="D77">
        <v>70976</v>
      </c>
      <c r="E77">
        <v>5</v>
      </c>
    </row>
    <row r="78" spans="1:5" x14ac:dyDescent="0.3">
      <c r="A78">
        <v>83</v>
      </c>
      <c r="B78">
        <v>2021</v>
      </c>
      <c r="C78">
        <v>3</v>
      </c>
      <c r="D78">
        <v>84944</v>
      </c>
      <c r="E78">
        <v>5</v>
      </c>
    </row>
    <row r="79" spans="1:5" x14ac:dyDescent="0.3">
      <c r="A79">
        <v>84</v>
      </c>
      <c r="B79">
        <v>2021</v>
      </c>
      <c r="C79">
        <v>4</v>
      </c>
      <c r="D79">
        <v>3588859</v>
      </c>
      <c r="E79">
        <v>5</v>
      </c>
    </row>
    <row r="80" spans="1:5" x14ac:dyDescent="0.3">
      <c r="A80">
        <v>85</v>
      </c>
      <c r="B80">
        <v>2020</v>
      </c>
      <c r="C80">
        <v>1</v>
      </c>
      <c r="D80">
        <v>265718</v>
      </c>
      <c r="E80">
        <v>5</v>
      </c>
    </row>
    <row r="81" spans="1:5" x14ac:dyDescent="0.3">
      <c r="A81">
        <v>86</v>
      </c>
      <c r="B81">
        <v>2020</v>
      </c>
      <c r="C81">
        <v>3</v>
      </c>
      <c r="D81">
        <v>894880</v>
      </c>
      <c r="E81">
        <v>5</v>
      </c>
    </row>
    <row r="82" spans="1:5" x14ac:dyDescent="0.3">
      <c r="A82">
        <v>87</v>
      </c>
      <c r="B82">
        <v>2020</v>
      </c>
      <c r="C82">
        <v>4</v>
      </c>
      <c r="D82">
        <v>6394464</v>
      </c>
      <c r="E82">
        <v>5</v>
      </c>
    </row>
    <row r="83" spans="1:5" x14ac:dyDescent="0.3">
      <c r="A83">
        <v>88</v>
      </c>
      <c r="B83">
        <v>2019</v>
      </c>
      <c r="C83">
        <v>1</v>
      </c>
      <c r="D83">
        <v>136353</v>
      </c>
      <c r="E83">
        <v>5</v>
      </c>
    </row>
    <row r="84" spans="1:5" x14ac:dyDescent="0.3">
      <c r="A84">
        <v>89</v>
      </c>
      <c r="B84">
        <v>2019</v>
      </c>
      <c r="C84">
        <v>3</v>
      </c>
      <c r="D84">
        <v>707775</v>
      </c>
      <c r="E84">
        <v>5</v>
      </c>
    </row>
    <row r="85" spans="1:5" x14ac:dyDescent="0.3">
      <c r="A85">
        <v>90</v>
      </c>
      <c r="B85">
        <v>2019</v>
      </c>
      <c r="C85">
        <v>4</v>
      </c>
      <c r="D85">
        <v>7251504</v>
      </c>
      <c r="E85">
        <v>5</v>
      </c>
    </row>
    <row r="86" spans="1:5" x14ac:dyDescent="0.3">
      <c r="A86">
        <v>91</v>
      </c>
      <c r="B86">
        <v>2018</v>
      </c>
      <c r="C86">
        <v>1</v>
      </c>
      <c r="D86">
        <v>101265</v>
      </c>
      <c r="E86">
        <v>5</v>
      </c>
    </row>
    <row r="87" spans="1:5" x14ac:dyDescent="0.3">
      <c r="A87">
        <v>92</v>
      </c>
      <c r="B87">
        <v>2018</v>
      </c>
      <c r="C87">
        <v>3</v>
      </c>
      <c r="D87">
        <v>182185</v>
      </c>
      <c r="E87">
        <v>5</v>
      </c>
    </row>
    <row r="88" spans="1:5" x14ac:dyDescent="0.3">
      <c r="A88">
        <v>93</v>
      </c>
      <c r="B88">
        <v>2018</v>
      </c>
      <c r="C88">
        <v>4</v>
      </c>
      <c r="D88">
        <v>6373233</v>
      </c>
      <c r="E88">
        <v>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D6" sqref="D6"/>
    </sheetView>
  </sheetViews>
  <sheetFormatPr defaultRowHeight="14.4" x14ac:dyDescent="0.3"/>
  <cols>
    <col min="1" max="1" width="11" bestFit="1" customWidth="1"/>
    <col min="2" max="2" width="14.33203125" bestFit="1" customWidth="1"/>
    <col min="3" max="3" width="16.88671875" bestFit="1" customWidth="1"/>
    <col min="4" max="4" width="12.88671875" bestFit="1" customWidth="1"/>
    <col min="5" max="5" width="14.33203125" bestFit="1" customWidth="1"/>
  </cols>
  <sheetData>
    <row r="1" spans="1:5" x14ac:dyDescent="0.3">
      <c r="A1" t="s">
        <v>2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">
      <c r="A2">
        <v>1</v>
      </c>
      <c r="B2" t="s">
        <v>57</v>
      </c>
      <c r="C2" t="s">
        <v>48</v>
      </c>
      <c r="D2">
        <v>1827</v>
      </c>
      <c r="E2" t="s">
        <v>58</v>
      </c>
    </row>
    <row r="3" spans="1:5" x14ac:dyDescent="0.3">
      <c r="A3">
        <v>2</v>
      </c>
      <c r="B3" t="s">
        <v>59</v>
      </c>
      <c r="C3" t="s">
        <v>47</v>
      </c>
      <c r="D3">
        <v>2003</v>
      </c>
      <c r="E3" t="s">
        <v>60</v>
      </c>
    </row>
    <row r="4" spans="1:5" x14ac:dyDescent="0.3">
      <c r="A4">
        <v>3</v>
      </c>
      <c r="B4" t="s">
        <v>61</v>
      </c>
      <c r="C4" t="s">
        <v>48</v>
      </c>
      <c r="D4">
        <v>2002</v>
      </c>
      <c r="E4" t="s">
        <v>62</v>
      </c>
    </row>
    <row r="5" spans="1:5" x14ac:dyDescent="0.3">
      <c r="A5">
        <v>4</v>
      </c>
      <c r="B5" t="s">
        <v>63</v>
      </c>
      <c r="C5" t="s">
        <v>48</v>
      </c>
      <c r="D5">
        <v>1929</v>
      </c>
      <c r="E5" t="s">
        <v>64</v>
      </c>
    </row>
  </sheetData>
  <dataValidations count="2">
    <dataValidation type="list" allowBlank="1" showInputMessage="1" showErrorMessage="1" error="Alegeți: &quot;premium&quot;, &quot;mediu_premium&quot;, &quot;economy&quot;, &quot;mediu&quot;" sqref="F2">
      <formula1>$E$2:$E$5</formula1>
    </dataValidation>
    <dataValidation type="list" allowBlank="1" showInputMessage="1" showErrorMessage="1" errorTitle="Valoare invalidă" error="Te rog să introduci una dintre valorile permise: premium, mediu_premium, economy sau mediu." sqref="F5 E2:E5">
      <formula1>"premium,mediu_premium,economy,mediu"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Caracteristici_produs</vt:lpstr>
      <vt:lpstr>Actiuni</vt:lpstr>
      <vt:lpstr>Tara</vt:lpstr>
      <vt:lpstr>Vanzari</vt:lpstr>
      <vt:lpstr>Brand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2024-12-28T15:33:27Z</dcterms:modified>
</cp:coreProperties>
</file>