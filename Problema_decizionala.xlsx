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solver_adj" localSheetId="0" hidden="1">Sheet1!$E$2:$E$13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Sheet1!$C$17</definedName>
    <definedName name="solver_lhs2" localSheetId="0" hidden="1">Sheet1!$E$2:$E$13</definedName>
    <definedName name="solver_lhs3" localSheetId="0" hidden="1">Sheet1!$E$2:$E$13</definedName>
    <definedName name="solver_lhs4" localSheetId="0" hidden="1">Sheet1!$G$2:$G$13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Sheet1!$C$16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hs1" localSheetId="0" hidden="1">285772.42</definedName>
    <definedName name="solver_rhs2" localSheetId="0" hidden="1">Sheet1!$I$2:$I$13</definedName>
    <definedName name="solver_rhs3" localSheetId="0" hidden="1">Sheet1!$H$2:$H$13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2" i="1"/>
  <c r="I3" i="1"/>
  <c r="I4" i="1"/>
  <c r="I5" i="1"/>
  <c r="I6" i="1"/>
  <c r="I7" i="1"/>
  <c r="I8" i="1"/>
  <c r="I9" i="1"/>
  <c r="I10" i="1"/>
  <c r="I11" i="1"/>
  <c r="I12" i="1"/>
  <c r="I13" i="1"/>
  <c r="I2" i="1"/>
  <c r="F3" i="1"/>
  <c r="F4" i="1"/>
  <c r="F5" i="1"/>
  <c r="F6" i="1"/>
  <c r="F7" i="1"/>
  <c r="G7" i="1" s="1"/>
  <c r="F8" i="1"/>
  <c r="F9" i="1"/>
  <c r="F10" i="1"/>
  <c r="F11" i="1"/>
  <c r="F12" i="1"/>
  <c r="F13" i="1"/>
  <c r="F2" i="1"/>
  <c r="D3" i="1"/>
  <c r="D4" i="1"/>
  <c r="D5" i="1"/>
  <c r="D6" i="1"/>
  <c r="D7" i="1"/>
  <c r="D8" i="1"/>
  <c r="D9" i="1"/>
  <c r="D10" i="1"/>
  <c r="D11" i="1"/>
  <c r="D12" i="1"/>
  <c r="D13" i="1"/>
  <c r="D2" i="1"/>
  <c r="G2" i="1" l="1"/>
  <c r="G5" i="1"/>
  <c r="G6" i="1"/>
  <c r="G13" i="1"/>
  <c r="G4" i="1"/>
  <c r="C17" i="1"/>
  <c r="G12" i="1"/>
  <c r="G11" i="1"/>
  <c r="G3" i="1"/>
  <c r="G10" i="1"/>
  <c r="G9" i="1"/>
  <c r="G8" i="1"/>
  <c r="C16" i="1" l="1"/>
</calcChain>
</file>

<file path=xl/sharedStrings.xml><?xml version="1.0" encoding="utf-8"?>
<sst xmlns="http://schemas.openxmlformats.org/spreadsheetml/2006/main" count="12" uniqueCount="12">
  <si>
    <t>Luna</t>
  </si>
  <si>
    <t>Pret_actiune</t>
  </si>
  <si>
    <t>Volum_actiuni</t>
  </si>
  <si>
    <t>Procent cost = 0.2%</t>
  </si>
  <si>
    <t>Volum_decizional</t>
  </si>
  <si>
    <t>Profit_lunar</t>
  </si>
  <si>
    <t>Venit_lunar</t>
  </si>
  <si>
    <t>Profit total</t>
  </si>
  <si>
    <t>Cost operare total</t>
  </si>
  <si>
    <t>Constrangere_minima</t>
  </si>
  <si>
    <t>Constrangere_maxima</t>
  </si>
  <si>
    <t>Cost_operare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</si>
</sst>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0" fillId="0" borderId="1" xfId="0" applyBorder="1"/>
    <xf numFmtId="2" fontId="0" fillId="0" borderId="1" xfId="0" applyNumberFormat="1" applyBorder="1"/>
    <xf numFmtId="17" fontId="0" fillId="0" borderId="5" xfId="0" applyNumberFormat="1" applyBorder="1"/>
    <xf numFmtId="0" fontId="0" fillId="0" borderId="6" xfId="0" applyBorder="1"/>
    <xf numFmtId="17" fontId="0" fillId="0" borderId="7" xfId="0" applyNumberFormat="1" applyBorder="1"/>
    <xf numFmtId="2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2" fontId="0" fillId="0" borderId="13" xfId="0" applyNumberFormat="1" applyBorder="1"/>
    <xf numFmtId="0" fontId="0" fillId="0" borderId="14" xfId="0" applyBorder="1"/>
    <xf numFmtId="2" fontId="0" fillId="0" borderId="15" xfId="0" applyNumberFormat="1" applyBorder="1"/>
    <xf numFmtId="0" fontId="0" fillId="0" borderId="13" xfId="0" applyBorder="1"/>
    <xf numFmtId="0" fontId="0" fillId="0" borderId="15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1" xfId="0" applyFill="1" applyBorder="1"/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M18" sqref="M18"/>
    </sheetView>
  </sheetViews>
  <sheetFormatPr defaultRowHeight="14.4" x14ac:dyDescent="0.3"/>
  <cols>
    <col min="2" max="2" width="11.33203125" bestFit="1" customWidth="1"/>
    <col min="3" max="3" width="12.6640625" bestFit="1" customWidth="1"/>
    <col min="4" max="4" width="12.109375" bestFit="1" customWidth="1"/>
    <col min="5" max="5" width="15.44140625" bestFit="1" customWidth="1"/>
    <col min="6" max="7" width="11.5546875" bestFit="1" customWidth="1"/>
    <col min="8" max="8" width="19.109375" bestFit="1" customWidth="1"/>
    <col min="9" max="9" width="19.5546875" bestFit="1" customWidth="1"/>
  </cols>
  <sheetData>
    <row r="1" spans="1:9" x14ac:dyDescent="0.3">
      <c r="A1" s="18" t="s">
        <v>0</v>
      </c>
      <c r="B1" s="19" t="s">
        <v>1</v>
      </c>
      <c r="C1" s="19" t="s">
        <v>2</v>
      </c>
      <c r="D1" s="19" t="s">
        <v>11</v>
      </c>
      <c r="E1" s="19" t="s">
        <v>4</v>
      </c>
      <c r="F1" s="19" t="s">
        <v>6</v>
      </c>
      <c r="G1" s="19" t="s">
        <v>5</v>
      </c>
      <c r="H1" s="19" t="s">
        <v>9</v>
      </c>
      <c r="I1" s="20" t="s">
        <v>10</v>
      </c>
    </row>
    <row r="2" spans="1:9" x14ac:dyDescent="0.3">
      <c r="A2" s="4">
        <v>44197</v>
      </c>
      <c r="B2" s="3">
        <v>11.2</v>
      </c>
      <c r="C2" s="2">
        <v>635598</v>
      </c>
      <c r="D2" s="3">
        <f>C2*B2*$C$15</f>
        <v>14237.395199999999</v>
      </c>
      <c r="E2" s="21">
        <v>762717.6</v>
      </c>
      <c r="F2" s="3">
        <f>E2*B2</f>
        <v>8542437.1199999992</v>
      </c>
      <c r="G2" s="3">
        <f>F2-D2</f>
        <v>8528199.7248</v>
      </c>
      <c r="H2" s="2">
        <f>C2*0.8</f>
        <v>508478.4</v>
      </c>
      <c r="I2" s="5">
        <f>C2*1.2</f>
        <v>762717.6</v>
      </c>
    </row>
    <row r="3" spans="1:9" x14ac:dyDescent="0.3">
      <c r="A3" s="4">
        <v>44228</v>
      </c>
      <c r="B3" s="3">
        <v>12</v>
      </c>
      <c r="C3" s="2">
        <v>1046586</v>
      </c>
      <c r="D3" s="3">
        <f t="shared" ref="D3:D13" si="0">C3*B3*$C$15</f>
        <v>25118.064000000002</v>
      </c>
      <c r="E3" s="21">
        <v>1255903.2</v>
      </c>
      <c r="F3" s="3">
        <f t="shared" ref="F3:F13" si="1">E3*B3</f>
        <v>15070838.399999999</v>
      </c>
      <c r="G3" s="3">
        <f t="shared" ref="G3:G13" si="2">F3-D3</f>
        <v>15045720.335999999</v>
      </c>
      <c r="H3" s="2">
        <f t="shared" ref="H3:H13" si="3">C3*0.8</f>
        <v>837268.8</v>
      </c>
      <c r="I3" s="5">
        <f t="shared" ref="I3:I13" si="4">C3*1.2</f>
        <v>1255903.2</v>
      </c>
    </row>
    <row r="4" spans="1:9" x14ac:dyDescent="0.3">
      <c r="A4" s="4">
        <v>44256</v>
      </c>
      <c r="B4" s="3">
        <v>12.75</v>
      </c>
      <c r="C4" s="2">
        <v>1184590</v>
      </c>
      <c r="D4" s="3">
        <f t="shared" si="0"/>
        <v>30207.045000000002</v>
      </c>
      <c r="E4" s="21">
        <v>1421508</v>
      </c>
      <c r="F4" s="3">
        <f t="shared" si="1"/>
        <v>18124227</v>
      </c>
      <c r="G4" s="3">
        <f t="shared" si="2"/>
        <v>18094019.954999998</v>
      </c>
      <c r="H4" s="2">
        <f t="shared" si="3"/>
        <v>947672</v>
      </c>
      <c r="I4" s="5">
        <f t="shared" si="4"/>
        <v>1421508</v>
      </c>
    </row>
    <row r="5" spans="1:9" x14ac:dyDescent="0.3">
      <c r="A5" s="4">
        <v>44287</v>
      </c>
      <c r="B5" s="3">
        <v>14.05</v>
      </c>
      <c r="C5" s="2">
        <v>1174026</v>
      </c>
      <c r="D5" s="3">
        <f t="shared" si="0"/>
        <v>32990.130600000004</v>
      </c>
      <c r="E5" s="21">
        <v>1408831.2</v>
      </c>
      <c r="F5" s="3">
        <f t="shared" si="1"/>
        <v>19794078.359999999</v>
      </c>
      <c r="G5" s="3">
        <f t="shared" si="2"/>
        <v>19761088.229399998</v>
      </c>
      <c r="H5" s="2">
        <f t="shared" si="3"/>
        <v>939220.8</v>
      </c>
      <c r="I5" s="5">
        <f t="shared" si="4"/>
        <v>1408831.2</v>
      </c>
    </row>
    <row r="6" spans="1:9" x14ac:dyDescent="0.3">
      <c r="A6" s="4">
        <v>44317</v>
      </c>
      <c r="B6" s="3">
        <v>14.15</v>
      </c>
      <c r="C6" s="2">
        <v>516438</v>
      </c>
      <c r="D6" s="3">
        <f t="shared" si="0"/>
        <v>14615.195400000001</v>
      </c>
      <c r="E6" s="21">
        <v>619725.6</v>
      </c>
      <c r="F6" s="3">
        <f t="shared" si="1"/>
        <v>8769117.2400000002</v>
      </c>
      <c r="G6" s="3">
        <f t="shared" si="2"/>
        <v>8754502.0446000006</v>
      </c>
      <c r="H6" s="2">
        <f t="shared" si="3"/>
        <v>413150.4</v>
      </c>
      <c r="I6" s="5">
        <f t="shared" si="4"/>
        <v>619725.6</v>
      </c>
    </row>
    <row r="7" spans="1:9" x14ac:dyDescent="0.3">
      <c r="A7" s="4">
        <v>44348</v>
      </c>
      <c r="B7" s="3">
        <v>16.05</v>
      </c>
      <c r="C7" s="2">
        <v>781370</v>
      </c>
      <c r="D7" s="3">
        <f t="shared" si="0"/>
        <v>25081.976999999999</v>
      </c>
      <c r="E7" s="21">
        <v>937644</v>
      </c>
      <c r="F7" s="3">
        <f t="shared" si="1"/>
        <v>15049186.200000001</v>
      </c>
      <c r="G7" s="3">
        <f t="shared" si="2"/>
        <v>15024104.223000001</v>
      </c>
      <c r="H7" s="2">
        <f t="shared" si="3"/>
        <v>625096</v>
      </c>
      <c r="I7" s="5">
        <f t="shared" si="4"/>
        <v>937644</v>
      </c>
    </row>
    <row r="8" spans="1:9" x14ac:dyDescent="0.3">
      <c r="A8" s="4">
        <v>44378</v>
      </c>
      <c r="B8" s="3">
        <v>14.75</v>
      </c>
      <c r="C8" s="2">
        <v>1451010</v>
      </c>
      <c r="D8" s="3">
        <f t="shared" si="0"/>
        <v>42804.794999999998</v>
      </c>
      <c r="E8" s="21">
        <v>1741212</v>
      </c>
      <c r="F8" s="3">
        <f t="shared" si="1"/>
        <v>25682877</v>
      </c>
      <c r="G8" s="3">
        <f t="shared" si="2"/>
        <v>25640072.204999998</v>
      </c>
      <c r="H8" s="2">
        <f t="shared" si="3"/>
        <v>1160808</v>
      </c>
      <c r="I8" s="5">
        <f t="shared" si="4"/>
        <v>1741212</v>
      </c>
    </row>
    <row r="9" spans="1:9" x14ac:dyDescent="0.3">
      <c r="A9" s="4">
        <v>44409</v>
      </c>
      <c r="B9" s="3">
        <v>15</v>
      </c>
      <c r="C9" s="2">
        <v>1051583</v>
      </c>
      <c r="D9" s="3">
        <f t="shared" si="0"/>
        <v>31547.49</v>
      </c>
      <c r="E9" s="21">
        <v>1261899.5999999999</v>
      </c>
      <c r="F9" s="3">
        <f t="shared" si="1"/>
        <v>18928493.999999996</v>
      </c>
      <c r="G9" s="3">
        <f t="shared" si="2"/>
        <v>18896946.509999998</v>
      </c>
      <c r="H9" s="2">
        <f t="shared" si="3"/>
        <v>841266.4</v>
      </c>
      <c r="I9" s="5">
        <f t="shared" si="4"/>
        <v>1261899.5999999999</v>
      </c>
    </row>
    <row r="10" spans="1:9" x14ac:dyDescent="0.3">
      <c r="A10" s="4">
        <v>44440</v>
      </c>
      <c r="B10" s="3">
        <v>15.25</v>
      </c>
      <c r="C10" s="2">
        <v>642297</v>
      </c>
      <c r="D10" s="3">
        <f t="shared" si="0"/>
        <v>19590.058499999999</v>
      </c>
      <c r="E10" s="21">
        <v>770756.4</v>
      </c>
      <c r="F10" s="3">
        <f t="shared" si="1"/>
        <v>11754035.1</v>
      </c>
      <c r="G10" s="3">
        <f t="shared" si="2"/>
        <v>11734445.0415</v>
      </c>
      <c r="H10" s="2">
        <f t="shared" si="3"/>
        <v>513837.60000000003</v>
      </c>
      <c r="I10" s="5">
        <f t="shared" si="4"/>
        <v>770756.4</v>
      </c>
    </row>
    <row r="11" spans="1:9" x14ac:dyDescent="0.3">
      <c r="A11" s="4">
        <v>44470</v>
      </c>
      <c r="B11" s="3">
        <v>14.85</v>
      </c>
      <c r="C11" s="2">
        <v>879953</v>
      </c>
      <c r="D11" s="3">
        <f t="shared" si="0"/>
        <v>26134.604099999997</v>
      </c>
      <c r="E11" s="21">
        <v>1055943.5999999999</v>
      </c>
      <c r="F11" s="3">
        <f t="shared" si="1"/>
        <v>15680762.459999997</v>
      </c>
      <c r="G11" s="3">
        <f t="shared" si="2"/>
        <v>15654627.855899997</v>
      </c>
      <c r="H11" s="2">
        <f t="shared" si="3"/>
        <v>703962.4</v>
      </c>
      <c r="I11" s="5">
        <f t="shared" si="4"/>
        <v>1055943.5999999999</v>
      </c>
    </row>
    <row r="12" spans="1:9" x14ac:dyDescent="0.3">
      <c r="A12" s="4">
        <v>44501</v>
      </c>
      <c r="B12" s="3">
        <v>14.75</v>
      </c>
      <c r="C12" s="2">
        <v>421757</v>
      </c>
      <c r="D12" s="3">
        <f t="shared" si="0"/>
        <v>12441.8315</v>
      </c>
      <c r="E12" s="21">
        <v>506108.39999999997</v>
      </c>
      <c r="F12" s="3">
        <f t="shared" si="1"/>
        <v>7465098.8999999994</v>
      </c>
      <c r="G12" s="3">
        <f t="shared" si="2"/>
        <v>7452657.0684999991</v>
      </c>
      <c r="H12" s="2">
        <f t="shared" si="3"/>
        <v>337405.60000000003</v>
      </c>
      <c r="I12" s="5">
        <f t="shared" si="4"/>
        <v>506108.39999999997</v>
      </c>
    </row>
    <row r="13" spans="1:9" ht="15" thickBot="1" x14ac:dyDescent="0.35">
      <c r="A13" s="6">
        <v>44531</v>
      </c>
      <c r="B13" s="7">
        <v>14.9</v>
      </c>
      <c r="C13" s="8">
        <v>369256</v>
      </c>
      <c r="D13" s="7">
        <f t="shared" si="0"/>
        <v>11003.828800000001</v>
      </c>
      <c r="E13" s="22">
        <v>443107.2</v>
      </c>
      <c r="F13" s="7">
        <f t="shared" si="1"/>
        <v>6602297.2800000003</v>
      </c>
      <c r="G13" s="7">
        <f t="shared" si="2"/>
        <v>6591293.4512</v>
      </c>
      <c r="H13" s="8">
        <f t="shared" si="3"/>
        <v>295404.79999999999</v>
      </c>
      <c r="I13" s="9">
        <f t="shared" si="4"/>
        <v>443107.2</v>
      </c>
    </row>
    <row r="15" spans="1:9" x14ac:dyDescent="0.3">
      <c r="A15" s="10" t="s">
        <v>3</v>
      </c>
      <c r="B15" s="11"/>
      <c r="C15" s="11">
        <v>2E-3</v>
      </c>
    </row>
    <row r="16" spans="1:9" x14ac:dyDescent="0.3">
      <c r="A16" s="12" t="s">
        <v>7</v>
      </c>
      <c r="B16" s="16"/>
      <c r="C16" s="13">
        <f>SUM(G2:G13)</f>
        <v>171177676.64489999</v>
      </c>
    </row>
    <row r="17" spans="1:5" x14ac:dyDescent="0.3">
      <c r="A17" s="14" t="s">
        <v>8</v>
      </c>
      <c r="B17" s="17"/>
      <c r="C17" s="15">
        <f>SUM(D2:D13)</f>
        <v>285772.41509999998</v>
      </c>
    </row>
    <row r="19" spans="1:5" x14ac:dyDescent="0.3">
      <c r="D19" s="1"/>
      <c r="E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2025-01-07T19:06:11Z</dcterms:modified>
</cp:coreProperties>
</file>